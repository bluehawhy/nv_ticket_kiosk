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1" autoFilterDateGrouping="1"/>
  </bookViews>
  <sheets>
    <sheet name="template" sheetId="1" state="visible" r:id="rId1"/>
    <sheet name="ticket" sheetId="2" state="visible" r:id="rId2"/>
    <sheet name="validation" sheetId="3" state="visible" r:id="rId3"/>
  </sheets>
  <definedNames>
    <definedName name="GEN20X_MAPVER">OFFSET(#REF!,,,COUNTA(#REF!))</definedName>
    <definedName name="GEN20X_OCCURRENCE">OFFSET(#REF!,,,COUNTA(#REF!))</definedName>
    <definedName name="GEN20X_TESTENV">OFFSET(#REF!,,,COUNTA(#REF!))</definedName>
    <definedName name="GEN20X_TICKETCATE">OFFSET(#REF!,,,COUNTA(#REF!))</definedName>
    <definedName name="GEN20X_VARIANT">OFFSET(#REF!,,,COUNTA(#REF!))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color theme="1"/>
      <sz val="11"/>
    </font>
    <font>
      <name val="Calibri"/>
      <family val="2"/>
      <color theme="10"/>
      <sz val="10"/>
      <u val="single"/>
    </font>
    <font>
      <name val="맑은 고딕"/>
      <charset val="129"/>
      <family val="3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4" fillId="2" borderId="1" applyAlignment="1" pivotButton="0" quotePrefix="0" xfId="0">
      <alignment vertical="center"/>
    </xf>
    <xf numFmtId="0" fontId="0" fillId="0" borderId="0" applyAlignment="1" applyProtection="1" pivotButton="0" quotePrefix="0" xfId="0">
      <alignment vertical="center"/>
      <protection locked="0" hidden="0"/>
    </xf>
    <xf numFmtId="0" fontId="0" fillId="0" borderId="1" applyAlignment="1" applyProtection="1" pivotButton="0" quotePrefix="0" xfId="0">
      <alignment horizontal="left" vertical="top" wrapText="1"/>
      <protection locked="0" hidden="0"/>
    </xf>
    <xf numFmtId="0" fontId="5" fillId="0" borderId="1" applyAlignment="1" applyProtection="1" pivotButton="0" quotePrefix="0" xfId="0">
      <alignment horizontal="left" vertical="top" wrapText="1"/>
      <protection locked="0" hidden="0"/>
    </xf>
    <xf numFmtId="0" fontId="3" fillId="0" borderId="1" applyAlignment="1" applyProtection="1" pivotButton="0" quotePrefix="0" xfId="0">
      <alignment horizontal="left" vertical="top" wrapText="1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0" fontId="4" fillId="0" borderId="0" applyAlignment="1" pivotButton="0" quotePrefix="0" xfId="0">
      <alignment vertical="center"/>
    </xf>
    <xf numFmtId="14" fontId="4" fillId="0" borderId="0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4" fillId="0" borderId="0" applyAlignment="1" applyProtection="1" pivotButton="0" quotePrefix="1" xfId="0">
      <alignment vertical="center" wrapText="1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7" fillId="0" borderId="0" applyAlignment="1" pivotButton="0" quotePrefix="0" xfId="0">
      <alignment horizontal="justify" vertical="center"/>
    </xf>
    <xf numFmtId="0" fontId="4" fillId="0" borderId="0" applyAlignment="1" applyProtection="1" pivotButton="0" quotePrefix="1" xfId="0">
      <alignment vertical="center"/>
      <protection locked="0" hidden="0"/>
    </xf>
    <xf numFmtId="164" fontId="0" fillId="0" borderId="1" applyAlignment="1" applyProtection="1" pivotButton="0" quotePrefix="0" xfId="0">
      <alignment horizontal="left" vertical="top" wrapText="1"/>
      <protection locked="0" hidden="0"/>
    </xf>
    <xf numFmtId="0" fontId="4" fillId="2" borderId="3" applyAlignment="1" pivotButton="0" quotePrefix="0" xfId="0">
      <alignment horizontal="left" vertical="center"/>
    </xf>
    <xf numFmtId="0" fontId="0" fillId="0" borderId="2" pivotButton="0" quotePrefix="0" xfId="0"/>
    <xf numFmtId="164" fontId="0" fillId="0" borderId="1" applyAlignment="1" applyProtection="1" pivotButton="0" quotePrefix="0" xfId="0">
      <alignment horizontal="left" vertical="top" wrapText="1"/>
      <protection locked="0" hidden="0"/>
    </xf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D12" sqref="D12"/>
    </sheetView>
  </sheetViews>
  <sheetFormatPr baseColWidth="8" defaultRowHeight="17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tabSelected="1" topLeftCell="A6" zoomScale="70" zoomScaleNormal="70" workbookViewId="0">
      <selection activeCell="E13" sqref="E13"/>
    </sheetView>
  </sheetViews>
  <sheetFormatPr baseColWidth="8" defaultRowHeight="17"/>
  <cols>
    <col width="15.5" bestFit="1" customWidth="1" style="12" min="1" max="1"/>
    <col hidden="1" width="30.5" customWidth="1" style="12" min="2" max="2"/>
    <col width="9.25" bestFit="1" customWidth="1" style="12" min="3" max="3"/>
    <col width="8.58203125" bestFit="1" customWidth="1" style="12" min="4" max="4"/>
    <col width="14.4140625" customWidth="1" style="12" min="5" max="5"/>
    <col width="64.58203125" customWidth="1" style="12" min="6" max="6"/>
    <col width="10.58203125" bestFit="1" customWidth="1" style="12" min="7" max="7"/>
    <col width="43.1640625" customWidth="1" style="12" min="8" max="12"/>
    <col width="6.9140625" bestFit="1" customWidth="1" style="12" min="13" max="13"/>
    <col width="9.58203125" bestFit="1" customWidth="1" style="12" min="14" max="14"/>
    <col width="9.58203125" customWidth="1" style="12" min="15" max="15"/>
    <col width="13.08203125" bestFit="1" customWidth="1" style="12" min="16" max="16"/>
    <col width="15.6640625" customWidth="1" style="12" min="17" max="17"/>
  </cols>
  <sheetData>
    <row r="1" ht="29" customHeight="1" s="12">
      <c r="A1" s="0" t="inlineStr">
        <is>
          <t>ticket kiosk_v3.0</t>
        </is>
      </c>
      <c r="B1" s="0" t="n"/>
      <c r="C1" s="0" t="n"/>
      <c r="D1" s="0" t="n"/>
    </row>
    <row r="2" ht="29" customHeight="1" s="12">
      <c r="D2" s="2" t="inlineStr">
        <is>
          <t>Project</t>
        </is>
      </c>
      <c r="E2" s="7" t="inlineStr">
        <is>
          <t>NKM</t>
        </is>
      </c>
      <c r="F2" s="8" t="n"/>
      <c r="G2" s="2" t="inlineStr">
        <is>
          <t>version</t>
        </is>
      </c>
      <c r="H2" s="7" t="n"/>
      <c r="J2" s="7" t="n"/>
      <c r="L2" s="7" t="n"/>
      <c r="P2" s="14" t="n"/>
    </row>
    <row r="3" ht="29" customHeight="1" s="12">
      <c r="D3" s="2" t="inlineStr">
        <is>
          <t>Found Date</t>
        </is>
      </c>
      <c r="E3" s="9" t="n">
        <v>46092</v>
      </c>
      <c r="F3" s="8" t="n"/>
      <c r="G3" s="2" t="inlineStr">
        <is>
          <t>HU version</t>
        </is>
      </c>
      <c r="H3" s="7" t="inlineStr">
        <is>
          <t>galaxy A55</t>
        </is>
      </c>
      <c r="I3" s="7" t="inlineStr">
        <is>
          <t>galaxy A55</t>
        </is>
      </c>
      <c r="J3" s="7" t="inlineStr">
        <is>
          <t>galaxy tab s10</t>
        </is>
      </c>
      <c r="L3" s="7" t="n"/>
      <c r="N3" s="0" t="n"/>
      <c r="O3" s="0" t="n"/>
      <c r="P3" s="14" t="n"/>
    </row>
    <row r="4" ht="29" customHeight="1" s="12">
      <c r="D4" s="2" t="inlineStr">
        <is>
          <t>Test_environment</t>
        </is>
      </c>
      <c r="E4" s="7" t="inlineStr">
        <is>
          <t>Lab Test Bench</t>
        </is>
      </c>
      <c r="F4" s="8" t="n"/>
      <c r="G4" s="2" t="inlineStr">
        <is>
          <t>Navi version</t>
        </is>
      </c>
      <c r="H4" s="7" t="inlineStr">
        <is>
          <t>NKM_AND_V219.00_261123</t>
        </is>
      </c>
      <c r="I4" s="7" t="inlineStr">
        <is>
          <t>NKM_AND_V219.00_261123</t>
        </is>
      </c>
      <c r="J4" s="7" t="inlineStr">
        <is>
          <t>NKM_AND_V219.00_261121</t>
        </is>
      </c>
      <c r="L4" s="7" t="n"/>
      <c r="M4" s="7" t="n"/>
      <c r="N4" s="0" t="n"/>
      <c r="O4" s="0" t="n"/>
      <c r="P4" s="14" t="n"/>
      <c r="Q4" s="3" t="n"/>
    </row>
    <row r="5" ht="123.65" customHeight="1" s="12">
      <c r="D5" s="2" t="inlineStr">
        <is>
          <t>HW_Version</t>
        </is>
      </c>
      <c r="E5" s="7" t="inlineStr">
        <is>
          <t>Galaxy tab</t>
        </is>
      </c>
      <c r="F5" s="8" t="n"/>
      <c r="G5" s="2" t="inlineStr">
        <is>
          <t>Map version</t>
        </is>
      </c>
      <c r="H5" s="7" t="inlineStr">
        <is>
          <t>NKM_MOD_ECE_V38001</t>
        </is>
      </c>
      <c r="I5" s="7" t="inlineStr">
        <is>
          <t>NKM_MOD_ECE_V38001</t>
        </is>
      </c>
      <c r="J5" s="7" t="inlineStr">
        <is>
          <t>NKM_MOD_KOR_V70601</t>
        </is>
      </c>
      <c r="L5" s="11" t="n"/>
      <c r="N5" s="0" t="n"/>
      <c r="O5" s="0" t="n"/>
    </row>
    <row r="6" ht="29" customHeight="1" s="12">
      <c r="D6" s="2" t="inlineStr">
        <is>
          <t>System (List)</t>
        </is>
      </c>
      <c r="E6" s="7" t="inlineStr">
        <is>
          <t>-</t>
        </is>
      </c>
      <c r="F6" s="8" t="n"/>
      <c r="G6" s="2" t="inlineStr">
        <is>
          <t>UI version</t>
        </is>
      </c>
      <c r="H6" s="15" t="n"/>
      <c r="J6" s="13" t="n"/>
      <c r="L6" s="7" t="inlineStr">
        <is>
          <t>-</t>
        </is>
      </c>
    </row>
    <row r="7" ht="29" customHeight="1" s="12">
      <c r="D7" s="2" t="inlineStr">
        <is>
          <t>log_path</t>
        </is>
      </c>
      <c r="E7" s="1" t="inlineStr">
        <is>
          <t>\\navis1\02.Project\00.NAS\09_Project_Navkingdom\45_DEV\TQA\Log\0_miskang\V219\V219.00_261123\26-03-11</t>
        </is>
      </c>
      <c r="F7" s="8" t="n"/>
      <c r="G7" s="2" t="n"/>
      <c r="H7" s="7" t="n"/>
      <c r="J7" s="13" t="n"/>
    </row>
    <row r="8" ht="29" customHeight="1" s="12">
      <c r="D8" s="2" t="inlineStr">
        <is>
          <t>local_trigger_path</t>
        </is>
      </c>
      <c r="E8" s="10" t="inlineStr">
        <is>
          <t>-</t>
        </is>
      </c>
      <c r="F8" s="8" t="n"/>
      <c r="G8" s="2" t="n"/>
      <c r="H8" s="7" t="n"/>
      <c r="J8" s="13" t="n"/>
    </row>
    <row r="9" ht="29" customHeight="1" s="12">
      <c r="G9" s="1" t="n"/>
    </row>
    <row r="10" ht="29" customHeight="1" s="12">
      <c r="A10" s="17" t="inlineStr">
        <is>
          <t>Ticket List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</row>
    <row r="11" ht="29" customHeight="1" s="12">
      <c r="A11" s="2" t="inlineStr">
        <is>
          <t>Key</t>
        </is>
      </c>
      <c r="B11" s="2" t="inlineStr">
        <is>
          <t>description</t>
        </is>
      </c>
      <c r="C11" s="2" t="inlineStr">
        <is>
          <t>time</t>
        </is>
      </c>
      <c r="D11" s="2" t="inlineStr">
        <is>
          <t>File</t>
        </is>
      </c>
      <c r="E11" s="2" t="inlineStr">
        <is>
          <t>Remark</t>
        </is>
      </c>
      <c r="F11" s="2" t="inlineStr">
        <is>
          <t>summary</t>
        </is>
      </c>
      <c r="G11" s="2" t="inlineStr">
        <is>
          <t>precondition</t>
        </is>
      </c>
      <c r="H11" s="2" t="inlineStr">
        <is>
          <t>action</t>
        </is>
      </c>
      <c r="I11" s="2" t="inlineStr">
        <is>
          <t>misbehavior</t>
        </is>
      </c>
      <c r="J11" s="2" t="inlineStr">
        <is>
          <t>expected result</t>
        </is>
      </c>
      <c r="K11" s="2" t="inlineStr">
        <is>
          <t>Error Recovery</t>
        </is>
      </c>
      <c r="L11" s="2" t="inlineStr">
        <is>
          <t>priority</t>
        </is>
      </c>
      <c r="M11" s="2" t="inlineStr">
        <is>
          <t>occurrence</t>
        </is>
      </c>
      <c r="N11" s="2" t="inlineStr">
        <is>
          <t>Issue of specific location</t>
        </is>
      </c>
      <c r="O11" s="2" t="inlineStr">
        <is>
          <t>ticket_category</t>
        </is>
      </c>
      <c r="P11" s="2" t="inlineStr">
        <is>
          <t>FunctCategoryMain</t>
        </is>
      </c>
      <c r="Q11" s="2" t="inlineStr">
        <is>
          <t>upload</t>
        </is>
      </c>
    </row>
    <row r="12" ht="20" customHeight="1" s="12">
      <c r="A12" s="4" t="inlineStr">
        <is>
          <t>NKM-44072</t>
        </is>
      </c>
      <c r="B12" s="4">
        <f>"Detected on Time &amp; Date
"&amp;TEXT($E$3,"yyyy-mm-dd")&amp;" "&amp;C12&amp;"
Test environment
HU version : "&amp;$H$3&amp;"
Navi version : "&amp;$H$4&amp;"
Map version : "&amp;$H$5&amp;"
Preconditions
"&amp;G12&amp;"
Error Path/Action
"&amp;H12&amp;"
Misbehavior/Reaction
"&amp;I12&amp;"
Expected Behavior
"&amp;J12&amp;"
Error Recovery
"&amp;K12&amp;"
Occurrence Count
"&amp;M12&amp;"
 Issue of specific location
"&amp;N12&amp;"
Log path
"&amp;D12&amp;"
"&amp;$E$7&amp;"
Remark
"&amp;E12</f>
        <v/>
      </c>
      <c r="C12" s="19">
        <f>TEXT(MID(D12, FIND(".", D12)-6, 6)*1, "00"":""00"":""00")</f>
        <v/>
      </c>
      <c r="D12" s="4" t="inlineStr">
        <is>
          <t>Screen_Recording_20260309_115928.mp4
Screen_Recording_20260309_155046.mp4</t>
        </is>
      </c>
      <c r="E12" s="4" t="inlineStr">
        <is>
          <t>문제가 있ㅇ므</t>
        </is>
      </c>
      <c r="F12" s="4" t="inlineStr">
        <is>
          <t>[NKM][2611][KOR] LLN flashes briefly as you pass Haeundae Fire Station.</t>
        </is>
      </c>
      <c r="G12" s="4" t="inlineStr">
        <is>
          <t>테슽1</t>
        </is>
      </c>
      <c r="H12" s="4" t="inlineStr">
        <is>
          <t>세트</t>
        </is>
      </c>
      <c r="I12" s="4" t="inlineStr">
        <is>
          <t>즈김</t>
        </is>
      </c>
      <c r="J12" s="4" t="inlineStr">
        <is>
          <t>asd</t>
        </is>
      </c>
      <c r="K12" s="4" t="inlineStr">
        <is>
          <t>Bibe</t>
        </is>
      </c>
      <c r="L12" s="6" t="inlineStr">
        <is>
          <t>A - 1 / Critical</t>
        </is>
      </c>
      <c r="M12" s="4" t="inlineStr">
        <is>
          <t>Once</t>
        </is>
      </c>
      <c r="N12" s="4" t="inlineStr">
        <is>
          <t>yes</t>
        </is>
      </c>
      <c r="O12" s="5" t="inlineStr">
        <is>
          <t>Other</t>
        </is>
      </c>
      <c r="P12" s="5" t="inlineStr">
        <is>
          <t>MapViewer</t>
        </is>
      </c>
      <c r="Q12" s="4" t="inlineStr">
        <is>
          <t>no</t>
        </is>
      </c>
    </row>
    <row r="13" ht="408.5" customHeight="1" s="12">
      <c r="A13" s="4" t="inlineStr">
        <is>
          <t>NKM-44172</t>
        </is>
      </c>
      <c r="B13" s="4">
        <f>"Detected on Time &amp; Date
"&amp;TEXT($E$3,"yyyy-mm-dd")&amp;" "&amp;C13&amp;"
Test environment
HU version : "&amp;$H$3&amp;"
Navi version : "&amp;$H$4&amp;"
Map version : "&amp;$H$5&amp;"
Preconditions
"&amp;G13&amp;"
Error Path/Action
"&amp;H13&amp;"
Misbehavior/Reaction
"&amp;I13&amp;"
Expected Behavior
"&amp;J13&amp;"
Error Recovery
"&amp;K13&amp;"
Occurrence Count
"&amp;M13&amp;"
 Issue of specific location
"&amp;N13&amp;"
Log path
"&amp;D13&amp;"
"&amp;$E$7&amp;"
Remark
"&amp;E13</f>
        <v/>
      </c>
      <c r="C13" s="19">
        <f>TEXT(MID(D13, FIND(".", D13)-6, 6)*1, "00"":""00"":""00")</f>
        <v/>
      </c>
      <c r="D13" s="4" t="inlineStr">
        <is>
          <t>Screen_Recording_20260311_133434.mp4</t>
        </is>
      </c>
      <c r="E13" s="4" t="inlineStr">
        <is>
          <t>어보이드 페리 아이콘이 동작하지 않음.</t>
        </is>
      </c>
      <c r="F13" s="6" t="inlineStr">
        <is>
          <t>[NKM][2611][ECE] Avoid ferry not working.</t>
        </is>
      </c>
      <c r="G13" s="4" t="inlineStr">
        <is>
          <t>None</t>
        </is>
      </c>
      <c r="H13" s="4" t="inlineStr">
        <is>
          <t>1. route from Meersburg, Germany to Konstanz
2. avoid ferry on</t>
        </is>
      </c>
      <c r="I13" s="4" t="inlineStr">
        <is>
          <t>Avoid ferry not working.</t>
        </is>
      </c>
      <c r="J13" s="4" t="inlineStr">
        <is>
          <t>should work</t>
        </is>
      </c>
      <c r="K13" s="4" t="inlineStr">
        <is>
          <t>None
 - if combination with others, it works.</t>
        </is>
      </c>
      <c r="L13" s="6" t="inlineStr">
        <is>
          <t>Top / Blocker</t>
        </is>
      </c>
      <c r="M13" s="4" t="inlineStr">
        <is>
          <t>Once</t>
        </is>
      </c>
      <c r="N13" s="4" t="inlineStr">
        <is>
          <t>no</t>
        </is>
      </c>
      <c r="O13" s="5" t="inlineStr">
        <is>
          <t>Other</t>
        </is>
      </c>
      <c r="P13" s="5" t="inlineStr">
        <is>
          <t>MapViewer</t>
        </is>
      </c>
      <c r="Q13" s="4" t="inlineStr">
        <is>
          <t>no</t>
        </is>
      </c>
    </row>
    <row r="14" ht="29" customHeight="1" s="12">
      <c r="A14" s="4" t="n"/>
      <c r="B14" s="4">
        <f>"Detected on Time &amp; Date
"&amp;TEXT($E$3,"yyyy-mm-dd")&amp;" "&amp;C14&amp;"
Test environment
HU version : "&amp;$H$3&amp;"
Navi version : "&amp;$H$4&amp;"
Map version : "&amp;$H$5&amp;"
Preconditions
"&amp;G14&amp;"
Error Path/Action
"&amp;H14&amp;"
Misbehavior/Reaction
"&amp;I14&amp;"
Expected Behavior
"&amp;J14&amp;"
Error Recovery
"&amp;K14&amp;"
Occurrence Count
"&amp;M14&amp;"
 Issue of specific location
"&amp;N14&amp;"
Log path
"&amp;D14&amp;"
"&amp;$E$7&amp;"
Remark
"&amp;E14</f>
        <v/>
      </c>
      <c r="C14" s="19">
        <f>TEXT(MID(D14, FIND(".", D14)-6, 6)*1, "00"":""00"":""00")</f>
        <v/>
      </c>
      <c r="D14" s="4" t="n"/>
      <c r="E14" s="4" t="n"/>
      <c r="F14" s="4" t="n"/>
      <c r="G14" s="4" t="inlineStr">
        <is>
          <t xml:space="preserve">Product grade: Entry
3D mode
</t>
        </is>
      </c>
      <c r="H14" s="4" t="inlineStr">
        <is>
          <t>1. check brigde in seoul</t>
        </is>
      </c>
      <c r="I14" s="4" t="inlineStr">
        <is>
          <t>The road on the bridge is at the same level as the water.</t>
        </is>
      </c>
      <c r="J14" s="4" t="inlineStr">
        <is>
          <t>The road on the bridge is at the same level as the bridge.</t>
        </is>
      </c>
      <c r="K14" s="4" t="inlineStr">
        <is>
          <t>None</t>
        </is>
      </c>
      <c r="L14" s="6" t="inlineStr">
        <is>
          <t>A - 1 / Critical</t>
        </is>
      </c>
      <c r="M14" s="4" t="inlineStr">
        <is>
          <t>Always</t>
        </is>
      </c>
      <c r="N14" s="4" t="inlineStr">
        <is>
          <t>no</t>
        </is>
      </c>
      <c r="O14" s="5" t="inlineStr">
        <is>
          <t>Other</t>
        </is>
      </c>
      <c r="P14" s="5" t="inlineStr">
        <is>
          <t>MapViewer</t>
        </is>
      </c>
      <c r="Q14" s="4" t="inlineStr">
        <is>
          <t>no</t>
        </is>
      </c>
    </row>
    <row r="15" ht="29" customHeight="1" s="12">
      <c r="A15" s="4" t="n"/>
      <c r="B15" s="4">
        <f>"Detected on Time &amp; Date
"&amp;TEXT($E$3,"yyyy-mm-dd")&amp;" "&amp;C15&amp;"
Test environment
HU version : "&amp;$H$3&amp;"
Navi version : "&amp;$H$4&amp;"
Map version : "&amp;$H$5&amp;"
Preconditions
"&amp;G15&amp;"
Error Path/Action
"&amp;H15&amp;"
Misbehavior/Reaction
"&amp;I15&amp;"
Expected Behavior
"&amp;J15&amp;"
Error Recovery
"&amp;K15&amp;"
Occurrence Count
"&amp;M15&amp;"
 Issue of specific location
"&amp;N15&amp;"
Log path
"&amp;D15&amp;"
"&amp;$E$7&amp;"
Remark
"&amp;E15</f>
        <v/>
      </c>
      <c r="C15" s="19">
        <f>TEXT(MID(D15, FIND(".", D15)-6, 6)*1, "00"":""00"":""00")</f>
        <v/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6" t="inlineStr">
        <is>
          <t>B - 2 / Major</t>
        </is>
      </c>
      <c r="M15" s="4" t="inlineStr">
        <is>
          <t>Once</t>
        </is>
      </c>
      <c r="N15" s="4" t="inlineStr">
        <is>
          <t>yes</t>
        </is>
      </c>
      <c r="O15" s="5" t="inlineStr">
        <is>
          <t>Other</t>
        </is>
      </c>
      <c r="P15" s="5" t="inlineStr">
        <is>
          <t>MapViewer</t>
        </is>
      </c>
      <c r="Q15" s="4" t="inlineStr">
        <is>
          <t>no</t>
        </is>
      </c>
    </row>
    <row r="16" ht="29" customHeight="1" s="12">
      <c r="A16" s="4" t="n"/>
      <c r="B16" s="4">
        <f>"Detected on Time &amp; Date
"&amp;TEXT($E$3,"yyyy-mm-dd")&amp;" "&amp;C16&amp;"
Test environment
HU version : "&amp;$H$3&amp;"
Navi version : "&amp;$H$4&amp;"
Map version : "&amp;$H$5&amp;"
Preconditions
"&amp;G16&amp;"
Error Path/Action
"&amp;H16&amp;"
Misbehavior/Reaction
"&amp;I16&amp;"
Expected Behavior
"&amp;J16&amp;"
Error Recovery
"&amp;K16&amp;"
Occurrence Count
"&amp;M16&amp;"
 Issue of specific location
"&amp;N16&amp;"
Log path
"&amp;D16&amp;"
"&amp;$E$7&amp;"
Remark
"&amp;E16</f>
        <v/>
      </c>
      <c r="C16" s="19">
        <f>TEXT(MID(D16, FIND(".", D16)-6, 6)*1, "00"":""00"":""00")</f>
        <v/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6" t="inlineStr">
        <is>
          <t>B - 2 / Major</t>
        </is>
      </c>
      <c r="M16" s="4" t="inlineStr">
        <is>
          <t>Once</t>
        </is>
      </c>
      <c r="N16" s="4" t="inlineStr">
        <is>
          <t>yes</t>
        </is>
      </c>
      <c r="O16" s="5" t="inlineStr">
        <is>
          <t>Other</t>
        </is>
      </c>
      <c r="P16" s="5" t="inlineStr">
        <is>
          <t>MapViewer</t>
        </is>
      </c>
      <c r="Q16" s="4" t="inlineStr">
        <is>
          <t>no</t>
        </is>
      </c>
    </row>
    <row r="17" ht="29" customHeight="1" s="12">
      <c r="A17" s="4" t="n"/>
      <c r="B17" s="4">
        <f>"Detected on Time &amp; Date
"&amp;TEXT($E$3,"yyyy-mm-dd")&amp;" "&amp;C17&amp;"
Test environment
HU version : "&amp;$H$3&amp;"
Navi version : "&amp;$H$4&amp;"
Map version : "&amp;$H$5&amp;"
Preconditions
"&amp;G17&amp;"
Error Path/Action
"&amp;H17&amp;"
Misbehavior/Reaction
"&amp;I17&amp;"
Expected Behavior
"&amp;J17&amp;"
Error Recovery
"&amp;K17&amp;"
Occurrence Count
"&amp;M17&amp;"
 Issue of specific location
"&amp;N17&amp;"
Log path
"&amp;D17&amp;"
"&amp;$E$7&amp;"
Remark
"&amp;E17</f>
        <v/>
      </c>
      <c r="C17" s="19">
        <f>TEXT(MID(D17, FIND(".", D17)-6, 6)*1, "00"":""00"":""00")</f>
        <v/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6" t="inlineStr">
        <is>
          <t>B - 2 / Major</t>
        </is>
      </c>
      <c r="M17" s="4" t="inlineStr">
        <is>
          <t>Once</t>
        </is>
      </c>
      <c r="N17" s="4" t="inlineStr">
        <is>
          <t>yes</t>
        </is>
      </c>
      <c r="O17" s="5" t="inlineStr">
        <is>
          <t>Other</t>
        </is>
      </c>
      <c r="P17" s="5" t="inlineStr">
        <is>
          <t>MapViewer</t>
        </is>
      </c>
      <c r="Q17" s="4" t="inlineStr">
        <is>
          <t>no</t>
        </is>
      </c>
    </row>
    <row r="18" ht="29" customHeight="1" s="12">
      <c r="A18" s="4" t="n"/>
      <c r="B18" s="4">
        <f>"Detected on Time &amp; Date
"&amp;TEXT($E$3,"yyyy-mm-dd")&amp;" "&amp;C18&amp;"
Test environment
HU version : "&amp;$H$3&amp;"
Navi version : "&amp;$H$4&amp;"
Map version : "&amp;$H$5&amp;"
Preconditions
"&amp;G18&amp;"
Error Path/Action
"&amp;H18&amp;"
Misbehavior/Reaction
"&amp;I18&amp;"
Expected Behavior
"&amp;J18&amp;"
Error Recovery
"&amp;K18&amp;"
Occurrence Count
"&amp;M18&amp;"
 Issue of specific location
"&amp;N18&amp;"
Log path
"&amp;D18&amp;"
"&amp;$E$7&amp;"
Remark
"&amp;E18</f>
        <v/>
      </c>
      <c r="C18" s="19">
        <f>TEXT(MID(D18, FIND(".", D18)-6, 6)*1, "00"":""00"":""00")</f>
        <v/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6" t="inlineStr">
        <is>
          <t>B - 2 / Major</t>
        </is>
      </c>
      <c r="M18" s="4" t="inlineStr">
        <is>
          <t>Once</t>
        </is>
      </c>
      <c r="N18" s="4" t="inlineStr">
        <is>
          <t>yes</t>
        </is>
      </c>
      <c r="O18" s="5" t="inlineStr">
        <is>
          <t>Other</t>
        </is>
      </c>
      <c r="P18" s="5" t="inlineStr">
        <is>
          <t>MapViewer</t>
        </is>
      </c>
      <c r="Q18" s="4" t="inlineStr">
        <is>
          <t>no</t>
        </is>
      </c>
    </row>
    <row r="19" ht="29" customHeight="1" s="12">
      <c r="A19" s="4" t="n"/>
      <c r="B19" s="4">
        <f>"Detected on Time &amp; Date
"&amp;TEXT($E$3,"yyyy-mm-dd")&amp;" "&amp;C19&amp;"
Test environment
HU version : "&amp;$H$3&amp;"
Navi version : "&amp;$H$4&amp;"
Map version : "&amp;$H$5&amp;"
Preconditions
"&amp;G19&amp;"
Error Path/Action
"&amp;H19&amp;"
Misbehavior/Reaction
"&amp;I19&amp;"
Expected Behavior
"&amp;J19&amp;"
Error Recovery
"&amp;K19&amp;"
Occurrence Count
"&amp;M19&amp;"
 Issue of specific location
"&amp;N19&amp;"
Log path
"&amp;D19&amp;"
"&amp;$E$7&amp;"
Remark
"&amp;E19</f>
        <v/>
      </c>
      <c r="C19" s="19">
        <f>TEXT(MID(D19, FIND(".", D19)-6, 6)*1, "00"":""00"":""00")</f>
        <v/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6" t="inlineStr">
        <is>
          <t>B - 2 / Major</t>
        </is>
      </c>
      <c r="M19" s="4" t="inlineStr">
        <is>
          <t>Once</t>
        </is>
      </c>
      <c r="N19" s="4" t="inlineStr">
        <is>
          <t>yes</t>
        </is>
      </c>
      <c r="O19" s="5" t="inlineStr">
        <is>
          <t>Other</t>
        </is>
      </c>
      <c r="P19" s="5" t="inlineStr">
        <is>
          <t>MapViewer</t>
        </is>
      </c>
      <c r="Q19" s="4" t="inlineStr">
        <is>
          <t>no</t>
        </is>
      </c>
    </row>
    <row r="20" ht="29" customHeight="1" s="12">
      <c r="A20" s="4" t="n"/>
      <c r="B20" s="4">
        <f>"Detected on Time &amp; Date
"&amp;TEXT($E$3,"yyyy-mm-dd")&amp;" "&amp;C20&amp;"
Test environment
HU version : "&amp;$H$3&amp;"
Navi version : "&amp;$H$4&amp;"
Map version : "&amp;$H$5&amp;"
Preconditions
"&amp;G20&amp;"
Error Path/Action
"&amp;H20&amp;"
Misbehavior/Reaction
"&amp;I20&amp;"
Expected Behavior
"&amp;J20&amp;"
Error Recovery
"&amp;K20&amp;"
Occurrence Count
"&amp;M20&amp;"
 Issue of specific location
"&amp;N20&amp;"
Log path
"&amp;D20&amp;"
"&amp;$E$7&amp;"
Remark
"&amp;E20</f>
        <v/>
      </c>
      <c r="C20" s="19">
        <f>TEXT(MID(D20, FIND(".", D20)-6, 6)*1, "00"":""00"":""00")</f>
        <v/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6" t="inlineStr">
        <is>
          <t>B - 2 / Major</t>
        </is>
      </c>
      <c r="M20" s="4" t="inlineStr">
        <is>
          <t>Once</t>
        </is>
      </c>
      <c r="N20" s="4" t="inlineStr">
        <is>
          <t>yes</t>
        </is>
      </c>
      <c r="O20" s="5" t="inlineStr">
        <is>
          <t>Other</t>
        </is>
      </c>
      <c r="P20" s="5" t="inlineStr">
        <is>
          <t>MapViewer</t>
        </is>
      </c>
      <c r="Q20" s="4" t="inlineStr">
        <is>
          <t>no</t>
        </is>
      </c>
    </row>
    <row r="21" ht="29" customHeight="1" s="12">
      <c r="A21" s="4" t="n"/>
      <c r="B21" s="4">
        <f>"Detected on Time &amp; Date
"&amp;TEXT($E$3,"yyyy-mm-dd")&amp;" "&amp;C21&amp;"
Test environment
HU version : "&amp;$H$3&amp;"
Navi version : "&amp;$H$4&amp;"
Map version : "&amp;$H$5&amp;"
Preconditions
"&amp;G21&amp;"
Error Path/Action
"&amp;H21&amp;"
Misbehavior/Reaction
"&amp;I21&amp;"
Expected Behavior
"&amp;J21&amp;"
Error Recovery
"&amp;K21&amp;"
Occurrence Count
"&amp;M21&amp;"
 Issue of specific location
"&amp;N21&amp;"
Log path
"&amp;D21&amp;"
"&amp;$E$7&amp;"
Remark
"&amp;E21</f>
        <v/>
      </c>
      <c r="C21" s="19">
        <f>TEXT(MID(D21, FIND(".", D21)-6, 6)*1, "00"":""00"":""00")</f>
        <v/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6" t="inlineStr">
        <is>
          <t>B - 2 / Major</t>
        </is>
      </c>
      <c r="M21" s="4" t="inlineStr">
        <is>
          <t>Once</t>
        </is>
      </c>
      <c r="N21" s="4" t="inlineStr">
        <is>
          <t>yes</t>
        </is>
      </c>
      <c r="O21" s="5" t="inlineStr">
        <is>
          <t>Other</t>
        </is>
      </c>
      <c r="P21" s="5" t="inlineStr">
        <is>
          <t>MapViewer</t>
        </is>
      </c>
      <c r="Q21" s="4" t="inlineStr">
        <is>
          <t>no</t>
        </is>
      </c>
    </row>
    <row r="22" ht="29" customHeight="1" s="12">
      <c r="A22" s="4" t="n"/>
      <c r="B22" s="4">
        <f>"Detected on Time &amp; Date
"&amp;TEXT($E$3,"yyyy-mm-dd")&amp;" "&amp;C22&amp;"
Test environment
HU version : "&amp;$H$3&amp;"
Navi version : "&amp;$H$4&amp;"
Map version : "&amp;$H$5&amp;"
Preconditions
"&amp;G22&amp;"
Error Path/Action
"&amp;H22&amp;"
Misbehavior/Reaction
"&amp;I22&amp;"
Expected Behavior
"&amp;J22&amp;"
Error Recovery
"&amp;K22&amp;"
Occurrence Count
"&amp;M22&amp;"
 Issue of specific location
"&amp;N22&amp;"
Log path
"&amp;D22&amp;"
"&amp;$E$7&amp;"
Remark
"&amp;E22</f>
        <v/>
      </c>
      <c r="C22" s="19">
        <f>TEXT(MID(D22, FIND(".", D22)-6, 6)*1, "00"":""00"":""00")</f>
        <v/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6" t="inlineStr">
        <is>
          <t>B - 2 / Major</t>
        </is>
      </c>
      <c r="M22" s="4" t="inlineStr">
        <is>
          <t>Once</t>
        </is>
      </c>
      <c r="N22" s="4" t="inlineStr">
        <is>
          <t>yes</t>
        </is>
      </c>
      <c r="O22" s="5" t="inlineStr">
        <is>
          <t>Other</t>
        </is>
      </c>
      <c r="P22" s="5" t="inlineStr">
        <is>
          <t>MapViewer</t>
        </is>
      </c>
      <c r="Q22" s="4" t="inlineStr">
        <is>
          <t>no</t>
        </is>
      </c>
    </row>
    <row r="23" ht="29" customHeight="1" s="12">
      <c r="A23" s="4" t="n"/>
      <c r="B23" s="4">
        <f>"Detected on Time &amp; Date
"&amp;TEXT($E$3,"yyyy-mm-dd")&amp;" "&amp;C23&amp;"
Test environment
HU version : "&amp;$H$3&amp;"
Navi version : "&amp;$H$4&amp;"
Map version : "&amp;$H$5&amp;"
Preconditions
"&amp;G23&amp;"
Error Path/Action
"&amp;H23&amp;"
Misbehavior/Reaction
"&amp;I23&amp;"
Expected Behavior
"&amp;J23&amp;"
Error Recovery
"&amp;K23&amp;"
Occurrence Count
"&amp;M23&amp;"
 Issue of specific location
"&amp;N23&amp;"
Log path
"&amp;D23&amp;"
"&amp;$E$7&amp;"
Remark
"&amp;E23</f>
        <v/>
      </c>
      <c r="C23" s="19">
        <f>TEXT(MID(D23, FIND(".", D23)-6, 6)*1, "00"":""00"":""00")</f>
        <v/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6" t="inlineStr">
        <is>
          <t>B - 2 / Major</t>
        </is>
      </c>
      <c r="M23" s="4" t="inlineStr">
        <is>
          <t>Once</t>
        </is>
      </c>
      <c r="N23" s="4" t="inlineStr">
        <is>
          <t>yes</t>
        </is>
      </c>
      <c r="O23" s="5" t="inlineStr">
        <is>
          <t>Other</t>
        </is>
      </c>
      <c r="P23" s="5" t="inlineStr">
        <is>
          <t>MapViewer</t>
        </is>
      </c>
      <c r="Q23" s="4" t="inlineStr">
        <is>
          <t>no</t>
        </is>
      </c>
    </row>
    <row r="24" ht="29" customHeight="1" s="12">
      <c r="A24" s="4" t="n"/>
      <c r="B24" s="4">
        <f>"Detected on Time &amp; Date
"&amp;TEXT($E$3,"yyyy-mm-dd")&amp;" "&amp;C24&amp;"
Test environment
HU version : "&amp;$H$3&amp;"
Navi version : "&amp;$H$4&amp;"
Map version : "&amp;$H$5&amp;"
Preconditions
"&amp;G24&amp;"
Error Path/Action
"&amp;H24&amp;"
Misbehavior/Reaction
"&amp;I24&amp;"
Expected Behavior
"&amp;J24&amp;"
Error Recovery
"&amp;K24&amp;"
Occurrence Count
"&amp;M24&amp;"
 Issue of specific location
"&amp;N24&amp;"
Log path
"&amp;D24&amp;"
"&amp;$E$7&amp;"
Remark
"&amp;E24</f>
        <v/>
      </c>
      <c r="C24" s="19">
        <f>TEXT(MID(D24, FIND(".", D24)-6, 6)*1, "00"":""00"":""00")</f>
        <v/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6" t="inlineStr">
        <is>
          <t>B - 2 / Major</t>
        </is>
      </c>
      <c r="M24" s="4" t="inlineStr">
        <is>
          <t>Once</t>
        </is>
      </c>
      <c r="N24" s="4" t="inlineStr">
        <is>
          <t>yes</t>
        </is>
      </c>
      <c r="O24" s="5" t="inlineStr">
        <is>
          <t>Other</t>
        </is>
      </c>
      <c r="P24" s="5" t="inlineStr">
        <is>
          <t>MapViewer</t>
        </is>
      </c>
      <c r="Q24" s="4" t="inlineStr">
        <is>
          <t>no</t>
        </is>
      </c>
    </row>
    <row r="25" ht="29" customHeight="1" s="12">
      <c r="A25" s="4" t="n"/>
      <c r="B25" s="4">
        <f>"Detected on Time &amp; Date
"&amp;TEXT($E$3,"yyyy-mm-dd")&amp;" "&amp;C25&amp;"
Test environment
HU version : "&amp;$H$3&amp;"
Navi version : "&amp;$H$4&amp;"
Map version : "&amp;$H$5&amp;"
Preconditions
"&amp;G25&amp;"
Error Path/Action
"&amp;H25&amp;"
Misbehavior/Reaction
"&amp;I25&amp;"
Expected Behavior
"&amp;J25&amp;"
Error Recovery
"&amp;K25&amp;"
Occurrence Count
"&amp;M25&amp;"
 Issue of specific location
"&amp;N25&amp;"
Log path
"&amp;D25&amp;"
"&amp;$E$7&amp;"
Remark
"&amp;E25</f>
        <v/>
      </c>
      <c r="C25" s="19">
        <f>TEXT(MID(D25, FIND(".", D25)-6, 6)*1, "00"":""00"":""00")</f>
        <v/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6" t="inlineStr">
        <is>
          <t>B - 2 / Major</t>
        </is>
      </c>
      <c r="M25" s="4" t="inlineStr">
        <is>
          <t>Once</t>
        </is>
      </c>
      <c r="N25" s="4" t="inlineStr">
        <is>
          <t>yes</t>
        </is>
      </c>
      <c r="O25" s="5" t="inlineStr">
        <is>
          <t>Other</t>
        </is>
      </c>
      <c r="P25" s="5" t="inlineStr">
        <is>
          <t>MapViewer</t>
        </is>
      </c>
      <c r="Q25" s="4" t="inlineStr">
        <is>
          <t>no</t>
        </is>
      </c>
    </row>
    <row r="26" ht="29" customHeight="1" s="12">
      <c r="A26" s="4" t="n"/>
      <c r="B26" s="4">
        <f>"Detected on Time &amp; Date
"&amp;TEXT($E$3,"yyyy-mm-dd")&amp;" "&amp;C26&amp;"
Test environment
HU version : "&amp;$H$3&amp;"
Navi version : "&amp;$H$4&amp;"
Map version : "&amp;$H$5&amp;"
Preconditions
"&amp;G26&amp;"
Error Path/Action
"&amp;H26&amp;"
Misbehavior/Reaction
"&amp;I26&amp;"
Expected Behavior
"&amp;J26&amp;"
Error Recovery
"&amp;K26&amp;"
Occurrence Count
"&amp;M26&amp;"
 Issue of specific location
"&amp;N26&amp;"
Log path
"&amp;D26&amp;"
"&amp;$E$7&amp;"
Remark
"&amp;E26</f>
        <v/>
      </c>
      <c r="C26" s="19">
        <f>TEXT(MID(D26, FIND(".", D26)-6, 6)*1, "00"":""00"":""00")</f>
        <v/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6" t="inlineStr">
        <is>
          <t>B - 2 / Major</t>
        </is>
      </c>
      <c r="M26" s="4" t="inlineStr">
        <is>
          <t>Once</t>
        </is>
      </c>
      <c r="N26" s="4" t="inlineStr">
        <is>
          <t>yes</t>
        </is>
      </c>
      <c r="O26" s="5" t="inlineStr">
        <is>
          <t>Other</t>
        </is>
      </c>
      <c r="P26" s="5" t="inlineStr">
        <is>
          <t>MapViewer</t>
        </is>
      </c>
      <c r="Q26" s="4" t="inlineStr">
        <is>
          <t>no</t>
        </is>
      </c>
    </row>
    <row r="27" ht="29" customHeight="1" s="12">
      <c r="A27" s="4" t="n"/>
      <c r="B27" s="4">
        <f>"Detected on Time &amp; Date
"&amp;TEXT($E$3,"yyyy-mm-dd")&amp;" "&amp;C27&amp;"
Test environment
HU version : "&amp;$H$3&amp;"
Navi version : "&amp;$H$4&amp;"
Map version : "&amp;$H$5&amp;"
Preconditions
"&amp;G27&amp;"
Error Path/Action
"&amp;H27&amp;"
Misbehavior/Reaction
"&amp;I27&amp;"
Expected Behavior
"&amp;J27&amp;"
Error Recovery
"&amp;K27&amp;"
Occurrence Count
"&amp;M27&amp;"
 Issue of specific location
"&amp;N27&amp;"
Log path
"&amp;D27&amp;"
"&amp;$E$7&amp;"
Remark
"&amp;E27</f>
        <v/>
      </c>
      <c r="C27" s="19">
        <f>TEXT(MID(D27, FIND(".", D27)-6, 6)*1, "00"":""00"":""00")</f>
        <v/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6" t="inlineStr">
        <is>
          <t>B - 2 / Major</t>
        </is>
      </c>
      <c r="M27" s="4" t="inlineStr">
        <is>
          <t>Once</t>
        </is>
      </c>
      <c r="N27" s="4" t="inlineStr">
        <is>
          <t>yes</t>
        </is>
      </c>
      <c r="O27" s="5" t="inlineStr">
        <is>
          <t>Other</t>
        </is>
      </c>
      <c r="P27" s="5" t="inlineStr">
        <is>
          <t>MapViewer</t>
        </is>
      </c>
      <c r="Q27" s="4" t="inlineStr">
        <is>
          <t>no</t>
        </is>
      </c>
    </row>
    <row r="28" ht="29" customHeight="1" s="12">
      <c r="A28" s="4" t="n"/>
      <c r="B28" s="4">
        <f>"Detected on Time &amp; Date
"&amp;TEXT($E$3,"yyyy-mm-dd")&amp;" "&amp;C28&amp;"
Test environment
HU version : "&amp;$H$3&amp;"
Navi version : "&amp;$H$4&amp;"
Map version : "&amp;$H$5&amp;"
Preconditions
"&amp;G28&amp;"
Error Path/Action
"&amp;H28&amp;"
Misbehavior/Reaction
"&amp;I28&amp;"
Expected Behavior
"&amp;J28&amp;"
Error Recovery
"&amp;K28&amp;"
Occurrence Count
"&amp;M28&amp;"
 Issue of specific location
"&amp;N28&amp;"
Log path
"&amp;D28&amp;"
"&amp;$E$7&amp;"
Remark
"&amp;E28</f>
        <v/>
      </c>
      <c r="C28" s="19">
        <f>TEXT(MID(D28, FIND(".", D28)-6, 6)*1, "00"":""00"":""00")</f>
        <v/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6" t="inlineStr">
        <is>
          <t>B - 2 / Major</t>
        </is>
      </c>
      <c r="M28" s="4" t="inlineStr">
        <is>
          <t>Once</t>
        </is>
      </c>
      <c r="N28" s="4" t="inlineStr">
        <is>
          <t>yes</t>
        </is>
      </c>
      <c r="O28" s="5" t="inlineStr">
        <is>
          <t>Other</t>
        </is>
      </c>
      <c r="P28" s="5" t="inlineStr">
        <is>
          <t>MapViewer</t>
        </is>
      </c>
      <c r="Q28" s="4" t="inlineStr">
        <is>
          <t>no</t>
        </is>
      </c>
    </row>
    <row r="29" ht="29" customHeight="1" s="12">
      <c r="A29" s="4" t="n"/>
      <c r="B29" s="4">
        <f>"Detected on Time &amp; Date
"&amp;TEXT($E$3,"yyyy-mm-dd")&amp;" "&amp;C29&amp;"
Test environment
HU version : "&amp;$H$3&amp;"
Navi version : "&amp;$H$4&amp;"
Map version : "&amp;$H$5&amp;"
Preconditions
"&amp;G29&amp;"
Error Path/Action
"&amp;H29&amp;"
Misbehavior/Reaction
"&amp;I29&amp;"
Expected Behavior
"&amp;J29&amp;"
Error Recovery
"&amp;K29&amp;"
Occurrence Count
"&amp;M29&amp;"
 Issue of specific location
"&amp;N29&amp;"
Log path
"&amp;D29&amp;"
"&amp;$E$7&amp;"
Remark
"&amp;E29</f>
        <v/>
      </c>
      <c r="C29" s="19">
        <f>TEXT(MID(D29, FIND(".", D29)-6, 6)*1, "00"":""00"":""00")</f>
        <v/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6" t="inlineStr">
        <is>
          <t>B - 2 / Major</t>
        </is>
      </c>
      <c r="M29" s="4" t="inlineStr">
        <is>
          <t>Once</t>
        </is>
      </c>
      <c r="N29" s="4" t="inlineStr">
        <is>
          <t>yes</t>
        </is>
      </c>
      <c r="O29" s="5" t="inlineStr">
        <is>
          <t>Other</t>
        </is>
      </c>
      <c r="P29" s="5" t="inlineStr">
        <is>
          <t>MapViewer</t>
        </is>
      </c>
      <c r="Q29" s="4" t="inlineStr">
        <is>
          <t>no</t>
        </is>
      </c>
    </row>
    <row r="30" ht="29" customHeight="1" s="12">
      <c r="A30" s="4" t="n"/>
      <c r="B30" s="4">
        <f>"Detected on Time &amp; Date
"&amp;TEXT($E$3,"yyyy-mm-dd")&amp;" "&amp;C30&amp;"
Test environment
HU version : "&amp;$H$3&amp;"
Navi version : "&amp;$H$4&amp;"
Map version : "&amp;$H$5&amp;"
Preconditions
"&amp;G30&amp;"
Error Path/Action
"&amp;H30&amp;"
Misbehavior/Reaction
"&amp;I30&amp;"
Expected Behavior
"&amp;J30&amp;"
Error Recovery
"&amp;K30&amp;"
Occurrence Count
"&amp;M30&amp;"
 Issue of specific location
"&amp;N30&amp;"
Log path
"&amp;D30&amp;"
"&amp;$E$7&amp;"
Remark
"&amp;E30</f>
        <v/>
      </c>
      <c r="C30" s="19">
        <f>TEXT(MID(D30, FIND(".", D30)-6, 6)*1, "00"":""00"":""00")</f>
        <v/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6" t="inlineStr">
        <is>
          <t>B - 2 / Major</t>
        </is>
      </c>
      <c r="M30" s="4" t="inlineStr">
        <is>
          <t>Once</t>
        </is>
      </c>
      <c r="N30" s="4" t="inlineStr">
        <is>
          <t>yes</t>
        </is>
      </c>
      <c r="O30" s="5" t="inlineStr">
        <is>
          <t>Other</t>
        </is>
      </c>
      <c r="P30" s="5" t="inlineStr">
        <is>
          <t>MapViewer</t>
        </is>
      </c>
      <c r="Q30" s="4" t="inlineStr">
        <is>
          <t>no</t>
        </is>
      </c>
    </row>
    <row r="31" ht="29" customHeight="1" s="12">
      <c r="A31" s="4" t="n"/>
      <c r="B31" s="4">
        <f>"Detected on Time &amp; Date
"&amp;TEXT($E$3,"yyyy-mm-dd")&amp;" "&amp;C31&amp;"
Test environment
HU version : "&amp;$H$3&amp;"
Navi version : "&amp;$H$4&amp;"
Map version : "&amp;$H$5&amp;"
Preconditions
"&amp;G31&amp;"
Error Path/Action
"&amp;H31&amp;"
Misbehavior/Reaction
"&amp;I31&amp;"
Expected Behavior
"&amp;J31&amp;"
Error Recovery
"&amp;K31&amp;"
Occurrence Count
"&amp;M31&amp;"
 Issue of specific location
"&amp;N31&amp;"
Log path
"&amp;D31&amp;"
"&amp;$E$7&amp;"
Remark
"&amp;E31</f>
        <v/>
      </c>
      <c r="C31" s="19">
        <f>TEXT(MID(D31, FIND(".", D31)-6, 6)*1, "00"":""00"":""00")</f>
        <v/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6" t="inlineStr">
        <is>
          <t>B - 2 / Major</t>
        </is>
      </c>
      <c r="M31" s="4" t="inlineStr">
        <is>
          <t>Once</t>
        </is>
      </c>
      <c r="N31" s="4" t="inlineStr">
        <is>
          <t>yes</t>
        </is>
      </c>
      <c r="O31" s="5" t="inlineStr">
        <is>
          <t>Other</t>
        </is>
      </c>
      <c r="P31" s="5" t="inlineStr">
        <is>
          <t>MapViewer</t>
        </is>
      </c>
      <c r="Q31" s="4" t="inlineStr">
        <is>
          <t>no</t>
        </is>
      </c>
    </row>
    <row r="32" ht="29" customHeight="1" s="12">
      <c r="A32" s="4" t="n"/>
      <c r="B32" s="4">
        <f>"Detected on Time &amp; Date
"&amp;TEXT($E$3,"yyyy-mm-dd")&amp;" "&amp;C32&amp;"
Test environment
HU version : "&amp;$H$3&amp;"
Navi version : "&amp;$H$4&amp;"
Map version : "&amp;$H$5&amp;"
Preconditions
"&amp;G32&amp;"
Error Path/Action
"&amp;H32&amp;"
Misbehavior/Reaction
"&amp;I32&amp;"
Expected Behavior
"&amp;J32&amp;"
Error Recovery
"&amp;K32&amp;"
Occurrence Count
"&amp;M32&amp;"
 Issue of specific location
"&amp;N32&amp;"
Log path
"&amp;D32&amp;"
"&amp;$E$7&amp;"
Remark
"&amp;E32</f>
        <v/>
      </c>
      <c r="C32" s="19">
        <f>TEXT(MID(D32, FIND(".", D32)-6, 6)*1, "00"":""00"":""00")</f>
        <v/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6" t="inlineStr">
        <is>
          <t>B - 2 / Major</t>
        </is>
      </c>
      <c r="M32" s="4" t="inlineStr">
        <is>
          <t>Once</t>
        </is>
      </c>
      <c r="N32" s="4" t="inlineStr">
        <is>
          <t>yes</t>
        </is>
      </c>
      <c r="O32" s="5" t="inlineStr">
        <is>
          <t>Other</t>
        </is>
      </c>
      <c r="P32" s="5" t="inlineStr">
        <is>
          <t>MapViewer</t>
        </is>
      </c>
      <c r="Q32" s="4" t="inlineStr">
        <is>
          <t>no</t>
        </is>
      </c>
    </row>
    <row r="33" ht="29" customHeight="1" s="12">
      <c r="A33" s="4" t="n"/>
      <c r="B33" s="4">
        <f>"Detected on Time &amp; Date
"&amp;TEXT($E$3,"yyyy-mm-dd")&amp;" "&amp;C33&amp;"
Test environment
HU version : "&amp;$H$3&amp;"
Navi version : "&amp;$H$4&amp;"
Map version : "&amp;$H$5&amp;"
Preconditions
"&amp;G33&amp;"
Error Path/Action
"&amp;H33&amp;"
Misbehavior/Reaction
"&amp;I33&amp;"
Expected Behavior
"&amp;J33&amp;"
Error Recovery
"&amp;K33&amp;"
Occurrence Count
"&amp;M33&amp;"
 Issue of specific location
"&amp;N33&amp;"
Log path
"&amp;D33&amp;"
"&amp;$E$7&amp;"
Remark
"&amp;E33</f>
        <v/>
      </c>
      <c r="C33" s="19">
        <f>TEXT(MID(D33, FIND(".", D33)-6, 6)*1, "00"":""00"":""00")</f>
        <v/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6" t="inlineStr">
        <is>
          <t>B - 2 / Major</t>
        </is>
      </c>
      <c r="M33" s="4" t="inlineStr">
        <is>
          <t>Once</t>
        </is>
      </c>
      <c r="N33" s="4" t="inlineStr">
        <is>
          <t>yes</t>
        </is>
      </c>
      <c r="O33" s="5" t="inlineStr">
        <is>
          <t>Other</t>
        </is>
      </c>
      <c r="P33" s="5" t="inlineStr">
        <is>
          <t>MapViewer</t>
        </is>
      </c>
      <c r="Q33" s="4" t="inlineStr">
        <is>
          <t>no</t>
        </is>
      </c>
    </row>
    <row r="34" ht="29" customHeight="1" s="12">
      <c r="A34" s="4" t="n"/>
      <c r="B34" s="4">
        <f>"Detected on Time &amp; Date
"&amp;TEXT($E$3,"yyyy-mm-dd")&amp;" "&amp;C34&amp;"
Test environment
HU version : "&amp;$H$3&amp;"
Navi version : "&amp;$H$4&amp;"
Map version : "&amp;$H$5&amp;"
Preconditions
"&amp;G34&amp;"
Error Path/Action
"&amp;H34&amp;"
Misbehavior/Reaction
"&amp;I34&amp;"
Expected Behavior
"&amp;J34&amp;"
Error Recovery
"&amp;K34&amp;"
Occurrence Count
"&amp;M34&amp;"
 Issue of specific location
"&amp;N34&amp;"
Log path
"&amp;D34&amp;"
"&amp;$E$7&amp;"
Remark
"&amp;E34</f>
        <v/>
      </c>
      <c r="C34" s="19">
        <f>TEXT(MID(D34, FIND(".", D34)-6, 6)*1, "00"":""00"":""00")</f>
        <v/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6" t="inlineStr">
        <is>
          <t>B - 2 / Major</t>
        </is>
      </c>
      <c r="M34" s="4" t="inlineStr">
        <is>
          <t>Once</t>
        </is>
      </c>
      <c r="N34" s="4" t="inlineStr">
        <is>
          <t>yes</t>
        </is>
      </c>
      <c r="O34" s="5" t="inlineStr">
        <is>
          <t>Other</t>
        </is>
      </c>
      <c r="P34" s="5" t="inlineStr">
        <is>
          <t>MapViewer</t>
        </is>
      </c>
      <c r="Q34" s="4" t="inlineStr">
        <is>
          <t>no</t>
        </is>
      </c>
    </row>
    <row r="35" ht="29" customHeight="1" s="12">
      <c r="A35" s="4" t="n"/>
      <c r="B35" s="4">
        <f>"Detected on Time &amp; Date
"&amp;TEXT($E$3,"yyyy-mm-dd")&amp;" "&amp;C35&amp;"
Test environment
HU version : "&amp;$H$3&amp;"
Navi version : "&amp;$H$4&amp;"
Map version : "&amp;$H$5&amp;"
Preconditions
"&amp;G35&amp;"
Error Path/Action
"&amp;H35&amp;"
Misbehavior/Reaction
"&amp;I35&amp;"
Expected Behavior
"&amp;J35&amp;"
Error Recovery
"&amp;K35&amp;"
Occurrence Count
"&amp;M35&amp;"
 Issue of specific location
"&amp;N35&amp;"
Log path
"&amp;D35&amp;"
"&amp;$E$7&amp;"
Remark
"&amp;E35</f>
        <v/>
      </c>
      <c r="C35" s="19">
        <f>TEXT(MID(D35, FIND(".", D35)-6, 6)*1, "00"":""00"":""00")</f>
        <v/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6" t="inlineStr">
        <is>
          <t>B - 2 / Major</t>
        </is>
      </c>
      <c r="M35" s="4" t="inlineStr">
        <is>
          <t>Once</t>
        </is>
      </c>
      <c r="N35" s="4" t="inlineStr">
        <is>
          <t>yes</t>
        </is>
      </c>
      <c r="O35" s="5" t="inlineStr">
        <is>
          <t>Other</t>
        </is>
      </c>
      <c r="P35" s="5" t="inlineStr">
        <is>
          <t>MapViewer</t>
        </is>
      </c>
      <c r="Q35" s="4" t="inlineStr">
        <is>
          <t>no</t>
        </is>
      </c>
    </row>
    <row r="36" ht="29" customHeight="1" s="12">
      <c r="A36" s="4" t="n"/>
      <c r="B36" s="4">
        <f>"Detected on Time &amp; Date
"&amp;TEXT($E$3,"yyyy-mm-dd")&amp;" "&amp;C36&amp;"
Test environment
HU version : "&amp;$H$3&amp;"
Navi version : "&amp;$H$4&amp;"
Map version : "&amp;$H$5&amp;"
Preconditions
"&amp;G36&amp;"
Error Path/Action
"&amp;H36&amp;"
Misbehavior/Reaction
"&amp;I36&amp;"
Expected Behavior
"&amp;J36&amp;"
Error Recovery
"&amp;K36&amp;"
Occurrence Count
"&amp;M36&amp;"
 Issue of specific location
"&amp;N36&amp;"
Log path
"&amp;D36&amp;"
"&amp;$E$7&amp;"
Remark
"&amp;E36</f>
        <v/>
      </c>
      <c r="C36" s="19">
        <f>TEXT(MID(D36, FIND(".", D36)-6, 6)*1, "00"":""00"":""00")</f>
        <v/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6" t="inlineStr">
        <is>
          <t>B - 2 / Major</t>
        </is>
      </c>
      <c r="M36" s="4" t="inlineStr">
        <is>
          <t>Once</t>
        </is>
      </c>
      <c r="N36" s="4" t="inlineStr">
        <is>
          <t>yes</t>
        </is>
      </c>
      <c r="O36" s="5" t="inlineStr">
        <is>
          <t>Other</t>
        </is>
      </c>
      <c r="P36" s="5" t="inlineStr">
        <is>
          <t>MapViewer</t>
        </is>
      </c>
      <c r="Q36" s="4" t="inlineStr">
        <is>
          <t>no</t>
        </is>
      </c>
    </row>
    <row r="37" ht="29" customHeight="1" s="12">
      <c r="A37" s="4" t="n"/>
      <c r="B37" s="4">
        <f>"Detected on Time &amp; Date
"&amp;TEXT($E$3,"yyyy-mm-dd")&amp;" "&amp;C37&amp;"
Test environment
HU version : "&amp;$H$3&amp;"
Navi version : "&amp;$H$4&amp;"
Map version : "&amp;$H$5&amp;"
Preconditions
"&amp;G37&amp;"
Error Path/Action
"&amp;H37&amp;"
Misbehavior/Reaction
"&amp;I37&amp;"
Expected Behavior
"&amp;J37&amp;"
Error Recovery
"&amp;K37&amp;"
Occurrence Count
"&amp;M37&amp;"
 Issue of specific location
"&amp;N37&amp;"
Log path
"&amp;D37&amp;"
"&amp;$E$7&amp;"
Remark
"&amp;E37</f>
        <v/>
      </c>
      <c r="C37" s="19">
        <f>TEXT(MID(D37, FIND(".", D37)-6, 6)*1, "00"":""00"":""00")</f>
        <v/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6" t="inlineStr">
        <is>
          <t>B - 2 / Major</t>
        </is>
      </c>
      <c r="M37" s="4" t="inlineStr">
        <is>
          <t>Once</t>
        </is>
      </c>
      <c r="N37" s="4" t="inlineStr">
        <is>
          <t>yes</t>
        </is>
      </c>
      <c r="O37" s="5" t="inlineStr">
        <is>
          <t>Other</t>
        </is>
      </c>
      <c r="P37" s="5" t="inlineStr">
        <is>
          <t>MapViewer</t>
        </is>
      </c>
      <c r="Q37" s="4" t="inlineStr">
        <is>
          <t>no</t>
        </is>
      </c>
    </row>
    <row r="38" ht="29" customHeight="1" s="12">
      <c r="A38" s="4" t="n"/>
      <c r="B38" s="4">
        <f>"Detected on Time &amp; Date
"&amp;TEXT($E$3,"yyyy-mm-dd")&amp;" "&amp;C38&amp;"
Test environment
HU version : "&amp;$H$3&amp;"
Navi version : "&amp;$H$4&amp;"
Map version : "&amp;$H$5&amp;"
Preconditions
"&amp;G38&amp;"
Error Path/Action
"&amp;H38&amp;"
Misbehavior/Reaction
"&amp;I38&amp;"
Expected Behavior
"&amp;J38&amp;"
Error Recovery
"&amp;K38&amp;"
Occurrence Count
"&amp;M38&amp;"
 Issue of specific location
"&amp;N38&amp;"
Log path
"&amp;D38&amp;"
"&amp;$E$7&amp;"
Remark
"&amp;E38</f>
        <v/>
      </c>
      <c r="C38" s="19">
        <f>TEXT(MID(D38, FIND(".", D38)-6, 6)*1, "00"":""00"":""00")</f>
        <v/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6" t="inlineStr">
        <is>
          <t>B - 2 / Major</t>
        </is>
      </c>
      <c r="M38" s="4" t="inlineStr">
        <is>
          <t>Once</t>
        </is>
      </c>
      <c r="N38" s="4" t="inlineStr">
        <is>
          <t>yes</t>
        </is>
      </c>
      <c r="O38" s="5" t="inlineStr">
        <is>
          <t>Other</t>
        </is>
      </c>
      <c r="P38" s="5" t="inlineStr">
        <is>
          <t>MapViewer</t>
        </is>
      </c>
      <c r="Q38" s="4" t="inlineStr">
        <is>
          <t>no</t>
        </is>
      </c>
    </row>
    <row r="39" ht="29" customHeight="1" s="12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</row>
    <row r="40" ht="29" customHeight="1" s="12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</row>
    <row r="41" ht="29" customHeight="1" s="12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</row>
    <row r="42" ht="29" customHeight="1" s="1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</row>
    <row r="43" ht="29" customHeight="1" s="12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</row>
    <row r="44" ht="29" customHeight="1" s="12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</row>
    <row r="45" ht="29" customHeight="1" s="12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</row>
    <row r="46" ht="29" customHeight="1" s="12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</row>
    <row r="47" ht="29" customHeight="1" s="12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</row>
    <row r="48" ht="29" customHeight="1" s="12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</row>
    <row r="49" ht="29" customHeight="1" s="12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</row>
    <row r="50" ht="29" customHeight="1" s="12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</row>
    <row r="51" ht="29" customHeight="1" s="12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</row>
    <row r="52" ht="29" customHeight="1" s="12"/>
    <row r="53" ht="29" customHeight="1" s="12"/>
    <row r="54" ht="29" customHeight="1" s="12"/>
    <row r="55" ht="29" customHeight="1" s="12"/>
    <row r="56" ht="29" customHeight="1" s="12"/>
    <row r="57" ht="29" customHeight="1" s="12"/>
    <row r="58" ht="29" customHeight="1" s="12"/>
    <row r="59" ht="29" customHeight="1" s="12"/>
    <row r="60" ht="29" customHeight="1" s="12"/>
  </sheetData>
  <mergeCells count="1">
    <mergeCell ref="A10:Q10"/>
  </mergeCells>
  <dataValidations count="7">
    <dataValidation sqref="E4" showDropDown="0" showInputMessage="1" showErrorMessage="1" allowBlank="0" type="list">
      <formula1>"Car Test,Lab PC Tool,Lab Test Bench,Customer Test"</formula1>
    </dataValidation>
    <dataValidation sqref="E6" showDropDown="0" showInputMessage="1" showErrorMessage="1" allowBlank="0" type="list">
      <formula1>"HU7 Premium CHN_M656,HU7 Premium ASN_M655,HU7 Premium JPN_M661,-,CIVIC_RSU_Gen20xi2,CIVIC.PremiumPlus,CIVIC.Premium,CIVIC.High,CIVIC.Mid"</formula1>
    </dataValidation>
    <dataValidation sqref="L12:L38" showDropDown="0" showInputMessage="1" showErrorMessage="1" allowBlank="0" type="list">
      <formula1>"Top / Blocker,A - 1 / Critical,B - 2 / Major,C - 3 / Minor,D - 4 / Trivial,None"</formula1>
    </dataValidation>
    <dataValidation sqref="M12:M38" showDropDown="0" showInputMessage="1" showErrorMessage="1" allowBlank="0" type="list">
      <formula1>"Always,Sometimes,Once,-"</formula1>
    </dataValidation>
    <dataValidation sqref="O12:O38" showDropDown="0" showInputMessage="1" showErrorMessage="1" allowBlank="0" type="list">
      <formula1>"None,Reset,Performance,Other"</formula1>
    </dataValidation>
    <dataValidation sqref="N12:N38 Q12:Q38" showDropDown="0" showInputMessage="1" showErrorMessage="1" allowBlank="0" type="list">
      <formula1>"yes,y,no,n"</formula1>
    </dataValidation>
    <dataValidation sqref="P12:P38" showDropDown="0" showInputMessage="1" showErrorMessage="1" allowBlank="0" type="list">
      <formula1>"None,3DParking,ADAS,AR,Car2X,DatabaseUpdate,DestinationInput,MFS,MapViewer,LiveTraffic,NavAsia,OnlineRouting,Personalization,Positioning,RSU,RouteCalculation,RouteGuidance,TollGateSystem,SDS,TRZ,HYDRA,KOR_TPEG,VICS,NavCtrl,EVRA,SubRegionMapUpdate,-"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I11" sqref="I11"/>
    </sheetView>
  </sheetViews>
  <sheetFormatPr baseColWidth="8" defaultRowHeight="17"/>
  <cols>
    <col width="14.5" bestFit="1" customWidth="1" style="12" min="1" max="1"/>
    <col width="10.08203125" bestFit="1" customWidth="1" style="12" min="2" max="2"/>
    <col width="21.9140625" customWidth="1" style="12" min="3" max="4"/>
  </cols>
  <sheetData>
    <row r="1">
      <c r="A1" s="2" t="inlineStr">
        <is>
          <t>Test_environment</t>
        </is>
      </c>
      <c r="B1" s="2" t="inlineStr">
        <is>
          <t>HW_Version</t>
        </is>
      </c>
      <c r="C1" s="2" t="inlineStr">
        <is>
          <t>System (List)</t>
        </is>
      </c>
      <c r="D1" s="2" t="inlineStr">
        <is>
          <t>Project</t>
        </is>
      </c>
    </row>
    <row r="2">
      <c r="A2" s="7" t="inlineStr">
        <is>
          <t>Car Test</t>
        </is>
      </c>
      <c r="B2" s="7" t="inlineStr">
        <is>
          <t>A</t>
        </is>
      </c>
      <c r="C2" s="7" t="inlineStr">
        <is>
          <t>None</t>
        </is>
      </c>
      <c r="D2" s="7" t="inlineStr">
        <is>
          <t>NTG7</t>
        </is>
      </c>
      <c r="E2" s="7" t="n"/>
    </row>
    <row r="3">
      <c r="A3" s="7" t="inlineStr">
        <is>
          <t>Lab PC Tool</t>
        </is>
      </c>
      <c r="B3" s="7" t="inlineStr">
        <is>
          <t>B</t>
        </is>
      </c>
      <c r="C3" s="7" t="inlineStr">
        <is>
          <t>HU7 High ASN_M362</t>
        </is>
      </c>
      <c r="D3" s="7" t="inlineStr">
        <is>
          <t>Gen20x.i2</t>
        </is>
      </c>
      <c r="E3" s="7" t="n"/>
    </row>
    <row r="4">
      <c r="A4" s="7" t="inlineStr">
        <is>
          <t>Lab Test Bench</t>
        </is>
      </c>
      <c r="B4" s="7" t="inlineStr">
        <is>
          <t>B1</t>
        </is>
      </c>
      <c r="C4" s="7" t="inlineStr">
        <is>
          <t>HU7 High CHN_M363</t>
        </is>
      </c>
      <c r="D4" s="7" t="inlineStr">
        <is>
          <t>Gen20x.i3</t>
        </is>
      </c>
      <c r="E4" s="7" t="n"/>
    </row>
    <row r="5">
      <c r="A5" s="7" t="inlineStr">
        <is>
          <t>Customer Test</t>
        </is>
      </c>
      <c r="B5" s="7" t="inlineStr">
        <is>
          <t>B2</t>
        </is>
      </c>
      <c r="C5" s="7" t="inlineStr">
        <is>
          <t>HU7 High IND_M364</t>
        </is>
      </c>
      <c r="D5" s="7" t="inlineStr">
        <is>
          <t>IST8</t>
        </is>
      </c>
      <c r="E5" s="7" t="n"/>
    </row>
    <row r="6">
      <c r="A6" s="7" t="n"/>
      <c r="B6" s="7" t="inlineStr">
        <is>
          <t>C</t>
        </is>
      </c>
      <c r="C6" s="7" t="inlineStr">
        <is>
          <t>HU7 High KOR_M326</t>
        </is>
      </c>
      <c r="D6" s="7" t="inlineStr">
        <is>
          <t>NKM</t>
        </is>
      </c>
      <c r="E6" s="7" t="n"/>
    </row>
    <row r="7">
      <c r="A7" s="7" t="n"/>
      <c r="B7" s="7" t="inlineStr">
        <is>
          <t>C1</t>
        </is>
      </c>
      <c r="C7" s="7" t="inlineStr">
        <is>
          <t>HU7 High ROW_M361</t>
        </is>
      </c>
      <c r="D7" s="7" t="n"/>
      <c r="E7" s="7" t="n"/>
    </row>
    <row r="8">
      <c r="A8" s="7" t="n"/>
      <c r="B8" s="7" t="inlineStr">
        <is>
          <t>C2</t>
        </is>
      </c>
      <c r="C8" s="7" t="inlineStr">
        <is>
          <t>HU7 Mid ASN_M356</t>
        </is>
      </c>
      <c r="D8" s="7" t="n"/>
      <c r="E8" s="7" t="n"/>
    </row>
    <row r="9">
      <c r="A9" s="7" t="n"/>
      <c r="B9" s="7" t="inlineStr">
        <is>
          <t>C3</t>
        </is>
      </c>
      <c r="C9" s="7" t="inlineStr">
        <is>
          <t>HU7 Mid CHN_M305</t>
        </is>
      </c>
      <c r="D9" s="7" t="n"/>
      <c r="E9" s="7" t="n"/>
    </row>
    <row r="10">
      <c r="A10" s="7" t="n"/>
      <c r="B10" s="7" t="inlineStr">
        <is>
          <t>C4</t>
        </is>
      </c>
      <c r="C10" s="7" t="inlineStr">
        <is>
          <t>HU7 Mid IND_M357</t>
        </is>
      </c>
      <c r="D10" s="7" t="n"/>
      <c r="E10" s="7" t="n"/>
    </row>
    <row r="11">
      <c r="A11" s="7" t="n"/>
      <c r="B11" s="7" t="inlineStr">
        <is>
          <t>D</t>
        </is>
      </c>
      <c r="C11" s="7" t="inlineStr">
        <is>
          <t>HU7 Mid ROW_M355</t>
        </is>
      </c>
      <c r="D11" s="7" t="n"/>
      <c r="E11" s="7" t="n"/>
    </row>
    <row r="12">
      <c r="A12" s="7" t="n"/>
      <c r="B12" s="7" t="inlineStr">
        <is>
          <t>D1</t>
        </is>
      </c>
      <c r="C12" s="7" t="inlineStr">
        <is>
          <t>HU7 Premium TV JPN_M241</t>
        </is>
      </c>
      <c r="D12" s="7" t="n"/>
      <c r="E12" s="7" t="n"/>
    </row>
    <row r="13">
      <c r="A13" s="7" t="n"/>
      <c r="B13" s="7" t="inlineStr">
        <is>
          <t>D2</t>
        </is>
      </c>
      <c r="C13" s="7" t="inlineStr">
        <is>
          <t>HU7 Mid ECE_M304</t>
        </is>
      </c>
      <c r="D13" s="7" t="n"/>
      <c r="E13" s="7" t="n"/>
    </row>
    <row r="14">
      <c r="A14" s="7" t="n"/>
      <c r="B14" s="7" t="inlineStr">
        <is>
          <t>D3</t>
        </is>
      </c>
      <c r="C14" s="7" t="inlineStr">
        <is>
          <t>HU7 Premium ECE_M238</t>
        </is>
      </c>
      <c r="D14" s="7" t="n"/>
      <c r="E14" s="7" t="n"/>
    </row>
    <row r="15">
      <c r="A15" s="7" t="n"/>
      <c r="B15" s="7" t="inlineStr">
        <is>
          <t>D4</t>
        </is>
      </c>
      <c r="C15" s="7" t="inlineStr">
        <is>
          <t>HU7 Premium CHN_M312</t>
        </is>
      </c>
      <c r="D15" s="7" t="n"/>
      <c r="E15" s="7" t="n"/>
    </row>
    <row r="16">
      <c r="A16" s="7" t="n"/>
      <c r="B16" s="7" t="inlineStr">
        <is>
          <t>D5</t>
        </is>
      </c>
      <c r="C16" s="7" t="inlineStr">
        <is>
          <t>HU7 Premium ASN_M369</t>
        </is>
      </c>
      <c r="D16" s="7" t="n"/>
      <c r="E16" s="7" t="n"/>
    </row>
    <row r="17">
      <c r="A17" s="7" t="n"/>
      <c r="B17" s="7" t="inlineStr">
        <is>
          <t>E018</t>
        </is>
      </c>
      <c r="C17" s="7" t="inlineStr">
        <is>
          <t>HU7 Premium ASN_M385</t>
        </is>
      </c>
      <c r="D17" s="7" t="n"/>
    </row>
    <row r="18">
      <c r="A18" s="7" t="n"/>
      <c r="B18" s="7" t="inlineStr">
        <is>
          <t>E019</t>
        </is>
      </c>
      <c r="C18" s="7" t="inlineStr">
        <is>
          <t>External_Devices</t>
        </is>
      </c>
      <c r="D18" s="7" t="n"/>
    </row>
    <row r="19">
      <c r="A19" s="7" t="n"/>
      <c r="B19" s="7" t="inlineStr">
        <is>
          <t>E015</t>
        </is>
      </c>
      <c r="C19" s="7" t="inlineStr">
        <is>
          <t>HU7 Premium CHN_M441</t>
        </is>
      </c>
      <c r="D19" s="7" t="n"/>
    </row>
    <row r="20">
      <c r="A20" s="7" t="n"/>
      <c r="B20" s="7" t="inlineStr">
        <is>
          <t>Q01</t>
        </is>
      </c>
      <c r="C20" s="7" t="inlineStr">
        <is>
          <t>HU7 Premium CHN_M656</t>
        </is>
      </c>
      <c r="D20" s="7" t="n"/>
    </row>
    <row r="21">
      <c r="A21" s="7" t="n"/>
      <c r="B21" s="7" t="inlineStr">
        <is>
          <t>I pad</t>
        </is>
      </c>
      <c r="C21" s="7" t="inlineStr">
        <is>
          <t>HU7 Premium CHN_M619</t>
        </is>
      </c>
      <c r="D21" s="7" t="n"/>
    </row>
    <row r="22">
      <c r="A22" s="7" t="n"/>
      <c r="B22" s="7" t="inlineStr">
        <is>
          <t>Galaxy tab</t>
        </is>
      </c>
      <c r="C22" s="7" t="inlineStr">
        <is>
          <t>HU7 Premium ASN_M623</t>
        </is>
      </c>
      <c r="D22" s="7" t="n"/>
    </row>
    <row r="23">
      <c r="A23" s="7" t="n"/>
      <c r="B23" s="7" t="inlineStr">
        <is>
          <t>Mobile IOS</t>
        </is>
      </c>
      <c r="C23" s="7" t="inlineStr">
        <is>
          <t>HU7 Premium ASN_M655</t>
        </is>
      </c>
      <c r="D23" s="7" t="n"/>
    </row>
    <row r="24">
      <c r="A24" s="7" t="n"/>
      <c r="B24" s="7" t="inlineStr">
        <is>
          <t>Mobile And</t>
        </is>
      </c>
      <c r="C24" s="7" t="inlineStr">
        <is>
          <t>HU7 Premium JPN_M661</t>
        </is>
      </c>
      <c r="D24" s="7" t="n"/>
    </row>
    <row r="25">
      <c r="A25" s="7" t="n"/>
      <c r="B25" s="7" t="inlineStr">
        <is>
          <t>Apple car play</t>
        </is>
      </c>
      <c r="C25" s="7" t="inlineStr">
        <is>
          <t>-</t>
        </is>
      </c>
      <c r="D25" s="7" t="n"/>
    </row>
    <row r="26">
      <c r="A26" s="7" t="n"/>
      <c r="B26" s="7" t="inlineStr">
        <is>
          <t>Android auto</t>
        </is>
      </c>
      <c r="C26" s="7" t="inlineStr">
        <is>
          <t>CIVIC_RSU_Gen20xi2</t>
        </is>
      </c>
      <c r="D26" s="7" t="n"/>
    </row>
    <row r="27">
      <c r="A27" s="7" t="n"/>
      <c r="B27" s="7" t="n"/>
      <c r="C27" s="7" t="inlineStr">
        <is>
          <t>CIVIC.PremiumPlus</t>
        </is>
      </c>
      <c r="D27" s="7" t="n"/>
    </row>
    <row r="28">
      <c r="A28" s="7" t="n"/>
      <c r="B28" s="7" t="n"/>
      <c r="C28" s="7" t="inlineStr">
        <is>
          <t>CIVIC.Premium</t>
        </is>
      </c>
      <c r="D28" s="7" t="n"/>
    </row>
    <row r="29">
      <c r="A29" s="7" t="n"/>
      <c r="B29" s="7" t="n"/>
      <c r="C29" s="7" t="inlineStr">
        <is>
          <t>CIVIC.High</t>
        </is>
      </c>
      <c r="D29" s="7" t="n"/>
    </row>
    <row r="30">
      <c r="A30" s="7" t="n"/>
      <c r="B30" s="7" t="n"/>
      <c r="C30" s="7" t="inlineStr">
        <is>
          <t>CIVIC.Mid</t>
        </is>
      </c>
      <c r="D30" s="7" t="n"/>
    </row>
    <row r="31">
      <c r="A31" s="7" t="n"/>
      <c r="B31" s="7" t="n"/>
      <c r="C31" s="7" t="n"/>
      <c r="D31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강민수(Minsu Kang)</dc:creator>
  <dcterms:created xsi:type="dcterms:W3CDTF">2023-06-27T11:03:38Z</dcterms:created>
  <dcterms:modified xsi:type="dcterms:W3CDTF">2026-03-11T04:49:00Z</dcterms:modified>
  <cp:lastModifiedBy>강민수(Minsu Kang)</cp:lastModifiedBy>
</cp:coreProperties>
</file>