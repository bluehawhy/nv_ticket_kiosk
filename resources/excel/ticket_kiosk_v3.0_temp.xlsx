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name="template" sheetId="1" state="visible" r:id="rId1"/>
    <sheet name="ticket" sheetId="2" state="visible" r:id="rId2"/>
    <sheet name="validation" sheetId="3" state="visible" r:id="rId3"/>
  </sheets>
  <definedNames>
    <definedName name="GEN20X_MAPVER">OFFSET(#REF!,,,COUNTA(#REF!))</definedName>
    <definedName name="GEN20X_OCCURRENCE">OFFSET(#REF!,,,COUNTA(#REF!))</definedName>
    <definedName name="GEN20X_TESTENV">OFFSET(#REF!,,,COUNTA(#REF!))</definedName>
    <definedName name="GEN20X_TICKETCATE">OFFSET(#REF!,,,COUNTA(#REF!))</definedName>
    <definedName name="GEN20X_VARIANT">OFFSET(#REF!,,,COUNTA(#REF!))</definedName>
    <definedName name="_xlnm._FilterDatabase" localSheetId="1" hidden="1">'ticket'!$A$11:$Q$67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0"/>
      <sz val="10"/>
      <u val="single"/>
    </font>
    <font>
      <name val="맑은 고딕"/>
      <charset val="129"/>
      <family val="3"/>
      <color theme="1"/>
      <sz val="10"/>
      <scheme val="minor"/>
    </font>
    <font>
      <name val="Segoe UI"/>
      <family val="2"/>
      <color rgb="FF2F343D"/>
      <sz val="7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4" fillId="2" borderId="1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left" vertical="top" wrapText="1"/>
      <protection locked="0" hidden="0"/>
    </xf>
    <xf numFmtId="0" fontId="5" fillId="0" borderId="1" applyAlignment="1" applyProtection="1" pivotButton="0" quotePrefix="0" xfId="0">
      <alignment horizontal="left" vertical="top" wrapText="1"/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14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7" fillId="0" borderId="0" applyAlignment="1" pivotButton="0" quotePrefix="0" xfId="0">
      <alignment horizontal="justify" vertical="center"/>
    </xf>
    <xf numFmtId="0" fontId="4" fillId="0" borderId="0" applyAlignment="1" applyProtection="1" pivotButton="0" quotePrefix="1" xfId="0">
      <alignment vertical="center"/>
      <protection locked="0" hidden="0"/>
    </xf>
    <xf numFmtId="164" fontId="0" fillId="0" borderId="1" applyAlignment="1" applyProtection="1" pivotButton="0" quotePrefix="0" xfId="0">
      <alignment horizontal="left" vertical="top" wrapText="1"/>
      <protection locked="0" hidden="0"/>
    </xf>
    <xf numFmtId="0" fontId="8" fillId="0" borderId="0" applyAlignment="1" pivotButton="0" quotePrefix="0" xfId="0">
      <alignment vertical="center"/>
    </xf>
    <xf numFmtId="0" fontId="4" fillId="2" borderId="3" applyAlignment="1" pivotButton="0" quotePrefix="0" xfId="0">
      <alignment horizontal="left" vertical="center"/>
    </xf>
    <xf numFmtId="0" fontId="0" fillId="0" borderId="2" pivotButton="0" quotePrefix="0" xfId="0"/>
    <xf numFmtId="164" fontId="0" fillId="0" borderId="1" applyAlignment="1" applyProtection="1" pivotButton="0" quotePrefix="0" xfId="0">
      <alignment horizontal="left" vertical="top" wrapText="1"/>
      <protection locked="0" hidden="0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2" sqref="D12"/>
    </sheetView>
  </sheetViews>
  <sheetFormatPr baseColWidth="8" defaultRowHeight="17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topLeftCell="A10" zoomScale="115" zoomScaleNormal="115" workbookViewId="0">
      <selection activeCell="H18" sqref="H18"/>
    </sheetView>
  </sheetViews>
  <sheetFormatPr baseColWidth="8" defaultRowHeight="17" outlineLevelCol="0"/>
  <cols>
    <col width="12.5" customWidth="1" style="11" min="1" max="1"/>
    <col width="13.83203125" customWidth="1" style="11" min="2" max="2"/>
    <col width="9.25" customWidth="1" style="11" min="3" max="3"/>
    <col width="23.5" customWidth="1" style="11" min="4" max="4"/>
    <col width="21.5" customWidth="1" style="11" min="5" max="5"/>
    <col width="62.33203125" customWidth="1" style="11" min="6" max="6"/>
    <col width="10.58203125" bestFit="1" customWidth="1" style="11" min="7" max="7"/>
    <col width="43.1640625" customWidth="1" style="11" min="8" max="9"/>
    <col width="23.33203125" bestFit="1" customWidth="1" style="11" min="10" max="10"/>
    <col width="11.5" bestFit="1" customWidth="1" style="11" min="11" max="11"/>
    <col width="14.25" bestFit="1" customWidth="1" style="11" min="12" max="12"/>
    <col width="12.08203125" bestFit="1" customWidth="1" style="11" min="13" max="13"/>
    <col width="9.58203125" bestFit="1" customWidth="1" style="11" min="14" max="14"/>
    <col width="9.58203125" customWidth="1" style="11" min="15" max="15"/>
    <col width="13.08203125" bestFit="1" customWidth="1" style="11" min="16" max="16"/>
    <col width="15.6640625" customWidth="1" style="11" min="17" max="17"/>
  </cols>
  <sheetData>
    <row r="1">
      <c r="A1" s="0" t="inlineStr">
        <is>
          <t>ticket kiosk_v3.0</t>
        </is>
      </c>
      <c r="B1" s="0" t="n"/>
      <c r="C1" s="0" t="n"/>
      <c r="D1" s="0" t="n"/>
    </row>
    <row r="2">
      <c r="D2" s="2" t="inlineStr">
        <is>
          <t>Project</t>
        </is>
      </c>
      <c r="E2" s="7" t="inlineStr">
        <is>
          <t>NKM</t>
        </is>
      </c>
      <c r="F2" s="8" t="n"/>
      <c r="G2" s="2" t="inlineStr">
        <is>
          <t>version</t>
        </is>
      </c>
      <c r="H2" s="7" t="n"/>
      <c r="I2" s="7" t="n"/>
      <c r="J2" s="7" t="n"/>
      <c r="K2" s="7" t="n"/>
      <c r="L2" s="7" t="n"/>
      <c r="P2" s="13" t="n"/>
    </row>
    <row r="3">
      <c r="D3" s="2" t="inlineStr">
        <is>
          <t>Found Date</t>
        </is>
      </c>
      <c r="E3" s="9" t="n">
        <v>46226</v>
      </c>
      <c r="F3" s="8" t="n"/>
      <c r="G3" s="2" t="inlineStr">
        <is>
          <t>HU version</t>
        </is>
      </c>
      <c r="H3" s="7" t="inlineStr">
        <is>
          <t>galaxy tab s10</t>
        </is>
      </c>
      <c r="I3" s="7" t="inlineStr">
        <is>
          <t>galaxy A55</t>
        </is>
      </c>
      <c r="J3" s="7" t="n"/>
      <c r="K3" s="7" t="inlineStr">
        <is>
          <t>galaxy S25 Ultra</t>
        </is>
      </c>
      <c r="L3" s="7" t="inlineStr">
        <is>
          <t>galaxy tab s10</t>
        </is>
      </c>
      <c r="M3" s="7" t="inlineStr">
        <is>
          <t>Iphone 16S Pro</t>
        </is>
      </c>
      <c r="N3" s="7" t="inlineStr">
        <is>
          <t>Ipad</t>
        </is>
      </c>
      <c r="O3" s="0" t="n"/>
      <c r="P3" s="13" t="n"/>
    </row>
    <row r="4">
      <c r="D4" s="2" t="inlineStr">
        <is>
          <t>Test_environment</t>
        </is>
      </c>
      <c r="E4" s="7" t="inlineStr">
        <is>
          <t>Lab Test Bench</t>
        </is>
      </c>
      <c r="F4" s="8" t="n"/>
      <c r="G4" s="2" t="inlineStr">
        <is>
          <t>Navi version</t>
        </is>
      </c>
      <c r="H4" s="7" t="inlineStr">
        <is>
          <t>NKM_AND_V234.40_263031</t>
        </is>
      </c>
      <c r="I4" s="7" t="inlineStr">
        <is>
          <t>NKM_AND_V230.20_262411</t>
        </is>
      </c>
      <c r="J4" s="7" t="inlineStr">
        <is>
          <t>NKM_IOS_V221.00_261341</t>
        </is>
      </c>
      <c r="K4" s="7" t="inlineStr">
        <is>
          <t>galaxy A566s</t>
        </is>
      </c>
      <c r="L4" s="7" t="n"/>
      <c r="M4" s="7" t="n"/>
      <c r="N4" s="0" t="n"/>
      <c r="O4" s="0" t="n"/>
      <c r="P4" s="13" t="n"/>
      <c r="Q4" s="3" t="n"/>
    </row>
    <row r="5">
      <c r="D5" s="2" t="inlineStr">
        <is>
          <t>HW_Version</t>
        </is>
      </c>
      <c r="E5" s="7" t="inlineStr">
        <is>
          <t>Galaxy tab</t>
        </is>
      </c>
      <c r="F5" s="8" t="inlineStr">
        <is>
          <t>I pad, Galaxy tab, Mobile IOS, Mobile And, Apple car play, Android auto</t>
        </is>
      </c>
      <c r="G5" s="2" t="inlineStr">
        <is>
          <t>Map version</t>
        </is>
      </c>
      <c r="H5" s="7" t="inlineStr">
        <is>
          <t>NKM_MOD_KOR_V75001</t>
        </is>
      </c>
      <c r="I5" s="7" t="inlineStr">
        <is>
          <t>NKM_MOD_ECE_V40001</t>
        </is>
      </c>
      <c r="J5" s="7" t="inlineStr">
        <is>
          <t>NKM_MOD_KOR_V75001</t>
        </is>
      </c>
      <c r="K5" s="7" t="inlineStr">
        <is>
          <t>galaxy A55</t>
        </is>
      </c>
      <c r="L5" s="7" t="n"/>
      <c r="N5" s="0" t="n"/>
      <c r="O5" s="0" t="n"/>
    </row>
    <row r="6">
      <c r="D6" s="2" t="inlineStr">
        <is>
          <t>System (List)</t>
        </is>
      </c>
      <c r="E6" s="7" t="inlineStr">
        <is>
          <t>-</t>
        </is>
      </c>
      <c r="F6" s="8" t="n"/>
      <c r="G6" s="2" t="inlineStr">
        <is>
          <t>UI version</t>
        </is>
      </c>
      <c r="H6" s="14" t="n"/>
      <c r="J6" s="12" t="n"/>
      <c r="K6" s="7" t="n"/>
      <c r="L6" s="7" t="n"/>
    </row>
    <row r="7">
      <c r="D7" s="2" t="inlineStr">
        <is>
          <t>log_path</t>
        </is>
      </c>
      <c r="E7" s="16" t="n"/>
      <c r="F7" s="1" t="n"/>
      <c r="G7" s="2" t="inlineStr">
        <is>
          <t>-</t>
        </is>
      </c>
      <c r="H7" s="7" t="n"/>
      <c r="J7" s="12" t="n"/>
    </row>
    <row r="8">
      <c r="D8" s="2" t="inlineStr">
        <is>
          <t>local_trigger_path</t>
        </is>
      </c>
      <c r="E8" s="10" t="inlineStr">
        <is>
          <t>-</t>
        </is>
      </c>
      <c r="F8" s="16" t="n"/>
      <c r="G8" s="2" t="n"/>
      <c r="H8" s="7" t="inlineStr">
        <is>
          <t>\\navis1\02.Project\00.NAS\09_Project_Navkingdom\45_DEV\TQA\Log\0_miskang\V234\LLN_테스트_KORV750\강변북로\가양대교북단</t>
        </is>
      </c>
      <c r="J8" s="12" t="n"/>
    </row>
    <row r="9">
      <c r="G9" s="1" t="n"/>
    </row>
    <row r="10">
      <c r="A10" s="17" t="inlineStr">
        <is>
          <t>Ticket List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2" t="inlineStr">
        <is>
          <t>Key</t>
        </is>
      </c>
      <c r="B11" s="2" t="inlineStr">
        <is>
          <t>description</t>
        </is>
      </c>
      <c r="C11" s="2" t="inlineStr">
        <is>
          <t>time</t>
        </is>
      </c>
      <c r="D11" s="2" t="inlineStr">
        <is>
          <t>File</t>
        </is>
      </c>
      <c r="E11" s="2" t="inlineStr">
        <is>
          <t>Remark</t>
        </is>
      </c>
      <c r="F11" s="2" t="inlineStr">
        <is>
          <t>summary</t>
        </is>
      </c>
      <c r="G11" s="2" t="inlineStr">
        <is>
          <t>precondition</t>
        </is>
      </c>
      <c r="H11" s="2" t="inlineStr">
        <is>
          <t>action</t>
        </is>
      </c>
      <c r="I11" s="2" t="inlineStr">
        <is>
          <t>misbehavior</t>
        </is>
      </c>
      <c r="J11" s="2" t="inlineStr">
        <is>
          <t>expected result</t>
        </is>
      </c>
      <c r="K11" s="2" t="inlineStr">
        <is>
          <t>Error Recovery</t>
        </is>
      </c>
      <c r="L11" s="2" t="inlineStr">
        <is>
          <t>priority</t>
        </is>
      </c>
      <c r="M11" s="2" t="inlineStr">
        <is>
          <t>occurrence</t>
        </is>
      </c>
      <c r="N11" s="2" t="inlineStr">
        <is>
          <t>Issue of specific location</t>
        </is>
      </c>
      <c r="O11" s="2" t="inlineStr">
        <is>
          <t>ticket_category</t>
        </is>
      </c>
      <c r="P11" s="2" t="inlineStr">
        <is>
          <t>FunctCategoryMain</t>
        </is>
      </c>
      <c r="Q11" s="2" t="inlineStr">
        <is>
          <t>upload</t>
        </is>
      </c>
    </row>
    <row r="12" ht="42.5" customHeight="1" s="11">
      <c r="A12" s="4" t="n"/>
      <c r="B12" s="4">
        <f>"Detected on Time &amp; Date
"&amp;TEXT($E$3,"yyyy-mm-dd")&amp;" "&amp;C12&amp;"
Test environment
HU version : "&amp;$H$3&amp;"
Navi version : "&amp;$H$4&amp;"
Map version : "&amp;$H$5&amp;"
Preconditions
"&amp;G12&amp;"
Error Path/Action
"&amp;H12&amp;"
Misbehavior/Reaction
"&amp;I12&amp;"
Expected Behavior
"&amp;J12&amp;"
Error Recovery
"&amp;K12&amp;"
Occurrence Count
"&amp;M12&amp;"
 Issue of specific location
"&amp;N12&amp;"
Log path
"&amp;D12&amp;"
"&amp;$E$7&amp;"
Remark
"&amp;E12</f>
        <v/>
      </c>
      <c r="C12" s="19">
        <f>TEXT(MID(D12, FIND(".", D12)-6, 6)*1, "00"":""00"":""00")</f>
        <v/>
      </c>
      <c r="D12" s="4" t="n"/>
      <c r="E12" s="4" t="n"/>
      <c r="F12" s="4" t="inlineStr">
        <is>
          <t>[NKM][2622][ECE] LLN flashes briefly as you pass Haeundae Fire Station.</t>
        </is>
      </c>
      <c r="G12" s="4" t="inlineStr">
        <is>
          <t>테슽1</t>
        </is>
      </c>
      <c r="H12" s="4" t="inlineStr">
        <is>
          <t>세트</t>
        </is>
      </c>
      <c r="I12" s="4" t="inlineStr">
        <is>
          <t>즈김</t>
        </is>
      </c>
      <c r="J12" s="4" t="inlineStr">
        <is>
          <t>asd</t>
        </is>
      </c>
      <c r="K12" s="4" t="inlineStr">
        <is>
          <t>Bibe</t>
        </is>
      </c>
      <c r="L12" s="6" t="inlineStr">
        <is>
          <t>A - 1 / Critical</t>
        </is>
      </c>
      <c r="M12" s="4" t="inlineStr">
        <is>
          <t>Once</t>
        </is>
      </c>
      <c r="N12" s="4" t="inlineStr">
        <is>
          <t>yes</t>
        </is>
      </c>
      <c r="O12" s="5" t="inlineStr">
        <is>
          <t>Other</t>
        </is>
      </c>
      <c r="P12" s="5" t="inlineStr">
        <is>
          <t>MapViewer</t>
        </is>
      </c>
      <c r="Q12" s="4" t="inlineStr">
        <is>
          <t>no</t>
        </is>
      </c>
    </row>
    <row r="13" ht="42.5" customHeight="1" s="11">
      <c r="A13" s="4" t="n"/>
      <c r="B13" s="4">
        <f>"Detected on Time &amp; Date
"&amp;TEXT($E$3,"yyyy-mm-dd")&amp;" "&amp;C13&amp;"
Test environment
HU version : "&amp;$H$3&amp;"
Navi version : "&amp;$H$4&amp;"
Map version : "&amp;$H$5&amp;"
Preconditions
"&amp;G13&amp;"
Error Path/Action
"&amp;H13&amp;"
Misbehavior/Reaction
"&amp;I13&amp;"
Expected Behavior
"&amp;J13&amp;"
Error Recovery
"&amp;K13&amp;"
Occurrence Count
"&amp;M13&amp;"
 Issue of specific location
"&amp;N13&amp;"
Log path
"&amp;D13&amp;"
"&amp;$E$7&amp;"
Remark
"&amp;E13</f>
        <v/>
      </c>
      <c r="C13" s="19">
        <f>TEXT(MID(D13, FIND(".", D13)-6, 6)*1, "00"":""00"":""00")</f>
        <v/>
      </c>
      <c r="D13" s="4" t="n"/>
      <c r="E13" s="4" t="n"/>
      <c r="F13" s="4" t="inlineStr">
        <is>
          <t>[NKM][2626][KOR][ENTRY]</t>
        </is>
      </c>
      <c r="G13" s="4" t="n"/>
      <c r="H13" s="4" t="n"/>
      <c r="I13" s="4" t="n"/>
      <c r="J13" s="4" t="n"/>
      <c r="K13" s="4" t="n"/>
      <c r="L13" s="6" t="inlineStr">
        <is>
          <t>Top / Blocker</t>
        </is>
      </c>
      <c r="M13" s="4" t="inlineStr">
        <is>
          <t>Once</t>
        </is>
      </c>
      <c r="N13" s="4" t="inlineStr">
        <is>
          <t>no</t>
        </is>
      </c>
      <c r="O13" s="5" t="inlineStr">
        <is>
          <t>Other</t>
        </is>
      </c>
      <c r="P13" s="5" t="inlineStr">
        <is>
          <t>MapViewer</t>
        </is>
      </c>
      <c r="Q13" s="4" t="inlineStr">
        <is>
          <t>no</t>
        </is>
      </c>
    </row>
    <row r="14" ht="32.5" customHeight="1" s="11">
      <c r="A14" s="4" t="n"/>
      <c r="B14" s="4">
        <f>"Detected on Time &amp; Date
"&amp;TEXT($E$3,"yyyy-mm-dd")&amp;" "&amp;C14&amp;"
Test environment
HU version : "&amp;$H$3&amp;"
Navi version : "&amp;$H$4&amp;"
Map version : "&amp;$H$5&amp;"
Preconditions
"&amp;G14&amp;"
Error Path/Action
"&amp;H14&amp;"
Misbehavior/Reaction
"&amp;I14&amp;"
Expected Behavior
"&amp;J14&amp;"
Error Recovery
"&amp;K14&amp;"
Occurrence Count
"&amp;M14&amp;"
 Issue of specific location
"&amp;N14&amp;"
Log path
"&amp;D14&amp;"
"&amp;$E$7&amp;"
Remark
"&amp;E14</f>
        <v/>
      </c>
      <c r="C14" s="19">
        <f>TEXT(MID(D14, FIND(".", D14)-6, 6)*1, "00"":""00"":""00")</f>
        <v/>
      </c>
      <c r="D14" s="4" t="n"/>
      <c r="E14" s="4" t="n"/>
      <c r="F14" s="4" t="inlineStr">
        <is>
          <t>[NKM][2626][KOR][HIGH] No LLN data at Gangbyeonbuk-ro, 385-25, Suseok-dong, Namyangju-s</t>
        </is>
      </c>
      <c r="G14" s="4" t="n"/>
      <c r="H14" s="4" t="inlineStr">
        <is>
          <t xml:space="preserve">1. driving 37.5861651,127.1690333
pos 1517185664 448420416 </t>
        </is>
      </c>
      <c r="I14" s="4" t="inlineStr">
        <is>
          <t>No LLN data at Gangbyeonbuk-ro, 385-25, Suseok-dong, Namyangju-s</t>
        </is>
      </c>
      <c r="J14" s="4" t="n"/>
      <c r="K14" s="4" t="inlineStr">
        <is>
          <t>None</t>
        </is>
      </c>
      <c r="L14" s="6" t="inlineStr">
        <is>
          <t>C - 3 / Minor</t>
        </is>
      </c>
      <c r="M14" s="4" t="inlineStr">
        <is>
          <t>Always</t>
        </is>
      </c>
      <c r="N14" s="4" t="inlineStr">
        <is>
          <t>yes</t>
        </is>
      </c>
      <c r="O14" s="5" t="inlineStr">
        <is>
          <t>Other</t>
        </is>
      </c>
      <c r="P14" s="5" t="inlineStr">
        <is>
          <t>MapViewer</t>
        </is>
      </c>
      <c r="Q14" s="4" t="inlineStr">
        <is>
          <t>no</t>
        </is>
      </c>
    </row>
    <row r="15" ht="54" customHeight="1" s="11">
      <c r="A15" s="4" t="n"/>
      <c r="B15" s="4">
        <f>"Detected on Time &amp; Date
"&amp;TEXT($E$3,"yyyy-mm-dd")&amp;" "&amp;C15&amp;"
Test environment
HU version : "&amp;$H$3&amp;"
Navi version : "&amp;$H$4&amp;"
Map version : "&amp;$H$5&amp;"
Preconditions
"&amp;G15&amp;"
Error Path/Action
"&amp;H15&amp;"
Misbehavior/Reaction
"&amp;I15&amp;"
Expected Behavior
"&amp;J15&amp;"
Error Recovery
"&amp;K15&amp;"
Occurrence Count
"&amp;M15&amp;"
 Issue of specific location
"&amp;N15&amp;"
Log path
"&amp;D15&amp;"
"&amp;$E$7&amp;"
Remark
"&amp;E15</f>
        <v/>
      </c>
      <c r="C15" s="19">
        <f>TEXT(MID(D15, FIND(".", D15)-6, 6)*1, "00"":""00"":""00")</f>
        <v/>
      </c>
      <c r="D15" s="4" t="n"/>
      <c r="E15" s="4" t="n"/>
      <c r="F15" s="4" t="n"/>
      <c r="G15" s="4" t="n"/>
      <c r="H15" s="4" t="n"/>
      <c r="I15" s="4" t="n"/>
      <c r="J15" s="4" t="n"/>
      <c r="K15" s="4" t="inlineStr">
        <is>
          <t>None</t>
        </is>
      </c>
      <c r="L15" s="6" t="inlineStr">
        <is>
          <t>A - 1 / Critical</t>
        </is>
      </c>
      <c r="M15" s="4" t="inlineStr">
        <is>
          <t>Once</t>
        </is>
      </c>
      <c r="N15" s="4" t="inlineStr">
        <is>
          <t>yes</t>
        </is>
      </c>
      <c r="O15" s="5" t="inlineStr">
        <is>
          <t>Other</t>
        </is>
      </c>
      <c r="P15" s="5" t="inlineStr">
        <is>
          <t>RouteCalculation</t>
        </is>
      </c>
      <c r="Q15" s="4" t="inlineStr">
        <is>
          <t>no</t>
        </is>
      </c>
    </row>
    <row r="16" ht="54" customHeight="1" s="11">
      <c r="A16" s="4" t="inlineStr">
        <is>
          <t>NKM-55310</t>
        </is>
      </c>
      <c r="B16" s="4">
        <f>"Detected on Time &amp; Date
"&amp;TEXT($E$3,"yyyy-mm-dd")&amp;" "&amp;C16&amp;"
Test environment
HU version : "&amp;$H$3&amp;"
Navi version : "&amp;$H$4&amp;"
Map version : "&amp;$H$5&amp;"
Preconditions
"&amp;G16&amp;"
Error Path/Action
"&amp;H16&amp;"
Misbehavior/Reaction
"&amp;I16&amp;"
Expected Behavior
"&amp;J16&amp;"
Error Recovery
"&amp;K16&amp;"
Occurrence Count
"&amp;M16&amp;"
 Issue of specific location
"&amp;N16&amp;"
Log path
"&amp;D16&amp;"
"&amp;$E$7&amp;"
Remark
"&amp;E16</f>
        <v/>
      </c>
      <c r="C16" s="19">
        <f>TEXT(MID(D16, FIND(".", D16)-6, 6)*1, "00"":""00"":""00")</f>
        <v/>
      </c>
      <c r="D16" s="4" t="inlineStr">
        <is>
          <t>Screenshot_20260723_095516.png</t>
        </is>
      </c>
      <c r="E16" s="4" t="inlineStr">
        <is>
          <t>망미역위 연수로에 안전지대가 남아 있음</t>
        </is>
      </c>
      <c r="F16" s="4" t="inlineStr">
        <is>
          <t>[NKM][2626][KOR][HIGH] A safety zone remains on Yeonsu-ro above Mangmi Station.</t>
        </is>
      </c>
      <c r="G16" s="4" t="inlineStr">
        <is>
          <t>None</t>
        </is>
      </c>
      <c r="H16" s="4" t="inlineStr">
        <is>
          <t>1. check map - 35.171603,129.1087103</t>
        </is>
      </c>
      <c r="I16" s="4" t="inlineStr">
        <is>
          <t>A safety zone remains on Yeonsu-ro above Mangmi Station.</t>
        </is>
      </c>
      <c r="J16" s="4" t="inlineStr">
        <is>
          <t>not marked (shown)</t>
        </is>
      </c>
      <c r="K16" s="4" t="inlineStr">
        <is>
          <t>None</t>
        </is>
      </c>
      <c r="L16" s="6" t="inlineStr">
        <is>
          <t>C - 3 / Minor</t>
        </is>
      </c>
      <c r="M16" s="4" t="inlineStr">
        <is>
          <t>Always</t>
        </is>
      </c>
      <c r="N16" s="4" t="inlineStr">
        <is>
          <t>yes</t>
        </is>
      </c>
      <c r="O16" s="5" t="inlineStr">
        <is>
          <t>Other</t>
        </is>
      </c>
      <c r="P16" s="5" t="inlineStr">
        <is>
          <t>MapViewer</t>
        </is>
      </c>
      <c r="Q16" s="4" t="inlineStr">
        <is>
          <t>no</t>
        </is>
      </c>
    </row>
    <row r="17" ht="54" customHeight="1" s="11">
      <c r="A17" s="4" t="inlineStr">
        <is>
          <t>NKM-55311</t>
        </is>
      </c>
      <c r="B17" s="4">
        <f>"Detected on Time &amp; Date
"&amp;TEXT($E$3,"yyyy-mm-dd")&amp;" "&amp;C17&amp;"
Test environment
HU version : "&amp;$H$3&amp;"
Navi version : "&amp;$H$4&amp;"
Map version : "&amp;$H$5&amp;"
Preconditions
"&amp;G17&amp;"
Error Path/Action
"&amp;H17&amp;"
Misbehavior/Reaction
"&amp;I17&amp;"
Expected Behavior
"&amp;J17&amp;"
Error Recovery
"&amp;K17&amp;"
Occurrence Count
"&amp;M17&amp;"
 Issue of specific location
"&amp;N17&amp;"
Log path
"&amp;D17&amp;"
"&amp;$E$7&amp;"
Remark
"&amp;E17</f>
        <v/>
      </c>
      <c r="C17" s="19">
        <f>TEXT(MID(D17, FIND(".", D17)-6, 6)*1, "00"":""00"":""00")</f>
        <v/>
      </c>
      <c r="D17" s="4" t="inlineStr">
        <is>
          <t>Screenshot_20260723_095524.png</t>
        </is>
      </c>
      <c r="E17" s="4" t="inlineStr">
        <is>
          <t>망미 119 안전센터 앞에 색상유도선이 제공 안됨</t>
        </is>
      </c>
      <c r="F17" s="4" t="inlineStr">
        <is>
          <t>[NKM][2626][KOR][HIGH] Colored guide lines are not provided in front of the Mangmi 119 Safety Center</t>
        </is>
      </c>
      <c r="G17" s="4" t="inlineStr">
        <is>
          <t>None</t>
        </is>
      </c>
      <c r="H17" s="4" t="inlineStr">
        <is>
          <t>1. check map - 35.1720133,129.1070581</t>
        </is>
      </c>
      <c r="I17" s="4" t="inlineStr">
        <is>
          <t>Colored guide lines are not provided in front of the Mangmi 119 Safety Center</t>
        </is>
      </c>
      <c r="J17" s="4" t="inlineStr">
        <is>
          <t>should shown</t>
        </is>
      </c>
      <c r="K17" s="4" t="inlineStr">
        <is>
          <t>None</t>
        </is>
      </c>
      <c r="L17" s="6" t="inlineStr">
        <is>
          <t>C - 3 / Minor</t>
        </is>
      </c>
      <c r="M17" s="4" t="inlineStr">
        <is>
          <t>Always</t>
        </is>
      </c>
      <c r="N17" s="4" t="inlineStr">
        <is>
          <t>yes</t>
        </is>
      </c>
      <c r="O17" s="5" t="inlineStr">
        <is>
          <t>Other</t>
        </is>
      </c>
      <c r="P17" s="5" t="inlineStr">
        <is>
          <t>MapViewer</t>
        </is>
      </c>
      <c r="Q17" s="4" t="inlineStr">
        <is>
          <t>no</t>
        </is>
      </c>
    </row>
    <row r="18" ht="54" customHeight="1" s="11">
      <c r="A18" s="4" t="n"/>
      <c r="B18" s="4">
        <f>"Detected on Time &amp; Date
"&amp;TEXT($E$3,"yyyy-mm-dd")&amp;" "&amp;C18&amp;"
Test environment
HU version : "&amp;$H$3&amp;"
Navi version : "&amp;$H$4&amp;"
Map version : "&amp;$H$5&amp;"
Preconditions
"&amp;G18&amp;"
Error Path/Action
"&amp;H18&amp;"
Misbehavior/Reaction
"&amp;I18&amp;"
Expected Behavior
"&amp;J18&amp;"
Error Recovery
"&amp;K18&amp;"
Occurrence Count
"&amp;M18&amp;"
 Issue of specific location
"&amp;N18&amp;"
Log path
"&amp;D18&amp;"
"&amp;$E$7&amp;"
Remark
"&amp;E18</f>
        <v/>
      </c>
      <c r="C18" s="19">
        <f>TEXT(MID(D18, FIND(".", D18)-6, 6)*1, "00"":""00"":""00")</f>
        <v/>
      </c>
      <c r="D18" s="4" t="n"/>
      <c r="E18" s="4" t="n"/>
      <c r="F18" s="4" t="n"/>
      <c r="G18" s="4" t="n"/>
      <c r="H18" s="4" t="n"/>
      <c r="I18" s="4" t="n"/>
      <c r="J18" s="4" t="n"/>
      <c r="K18" s="4" t="inlineStr">
        <is>
          <t>None</t>
        </is>
      </c>
      <c r="L18" s="6" t="inlineStr">
        <is>
          <t>B - 2 / Major</t>
        </is>
      </c>
      <c r="M18" s="4" t="inlineStr">
        <is>
          <t>Always</t>
        </is>
      </c>
      <c r="N18" s="4" t="inlineStr">
        <is>
          <t>yes</t>
        </is>
      </c>
      <c r="O18" s="5" t="inlineStr">
        <is>
          <t>Other</t>
        </is>
      </c>
      <c r="P18" s="5" t="inlineStr">
        <is>
          <t>MapViewer</t>
        </is>
      </c>
      <c r="Q18" s="4" t="inlineStr">
        <is>
          <t>no</t>
        </is>
      </c>
    </row>
    <row r="19" ht="54" customHeight="1" s="11">
      <c r="A19" s="4" t="n"/>
      <c r="B19" s="4">
        <f>"Detected on Time &amp; Date
"&amp;TEXT($E$3,"yyyy-mm-dd")&amp;" "&amp;C19&amp;"
Test environment
HU version : "&amp;$H$3&amp;"
Navi version : "&amp;$H$4&amp;"
Map version : "&amp;$H$5&amp;"
Preconditions
"&amp;G19&amp;"
Error Path/Action
"&amp;H19&amp;"
Misbehavior/Reaction
"&amp;I19&amp;"
Expected Behavior
"&amp;J19&amp;"
Error Recovery
"&amp;K19&amp;"
Occurrence Count
"&amp;M19&amp;"
 Issue of specific location
"&amp;N19&amp;"
Log path
"&amp;D19&amp;"
"&amp;$E$7&amp;"
Remark
"&amp;E19</f>
        <v/>
      </c>
      <c r="C19" s="19">
        <f>TEXT(MID(D19, FIND(".", D19)-6, 6)*1, "00"":""00"":""00")</f>
        <v/>
      </c>
      <c r="D19" s="6" t="n"/>
      <c r="E19" s="4" t="n"/>
      <c r="F19" s="4" t="n"/>
      <c r="G19" s="4" t="n"/>
      <c r="H19" s="4" t="n"/>
      <c r="I19" s="4" t="n"/>
      <c r="J19" s="4" t="n"/>
      <c r="K19" s="4" t="inlineStr">
        <is>
          <t>None</t>
        </is>
      </c>
      <c r="L19" s="6" t="inlineStr">
        <is>
          <t>B - 2 / Major</t>
        </is>
      </c>
      <c r="M19" s="4" t="inlineStr">
        <is>
          <t>Always</t>
        </is>
      </c>
      <c r="N19" s="4" t="inlineStr">
        <is>
          <t>yes</t>
        </is>
      </c>
      <c r="O19" s="5" t="inlineStr">
        <is>
          <t>Other</t>
        </is>
      </c>
      <c r="P19" s="5" t="inlineStr">
        <is>
          <t>MapViewer</t>
        </is>
      </c>
      <c r="Q19" s="4" t="inlineStr">
        <is>
          <t>no</t>
        </is>
      </c>
    </row>
    <row r="20" ht="54" customHeight="1" s="11">
      <c r="A20" s="4" t="n"/>
      <c r="B20" s="4">
        <f>"Detected on Time &amp; Date
"&amp;TEXT($E$3,"yyyy-mm-dd")&amp;" "&amp;C20&amp;"
Test environment
HU version : "&amp;$H$3&amp;"
Navi version : "&amp;$H$4&amp;"
Map version : "&amp;$H$5&amp;"
Preconditions
"&amp;G20&amp;"
Error Path/Action
"&amp;H20&amp;"
Misbehavior/Reaction
"&amp;I20&amp;"
Expected Behavior
"&amp;J20&amp;"
Error Recovery
"&amp;K20&amp;"
Occurrence Count
"&amp;M20&amp;"
 Issue of specific location
"&amp;N20&amp;"
Log path
"&amp;D20&amp;"
"&amp;$E$7&amp;"
Remark
"&amp;E20</f>
        <v/>
      </c>
      <c r="C20" s="19">
        <f>TEXT(MID(D20, FIND(".", D20)-6, 6)*1, "00"":""00"":""00")</f>
        <v/>
      </c>
      <c r="D20" s="4" t="n"/>
      <c r="E20" s="4" t="n"/>
      <c r="F20" s="4" t="n"/>
      <c r="G20" s="4" t="n"/>
      <c r="H20" s="4" t="inlineStr">
        <is>
          <t>1. check map
location : 37.2900063,127.1306563</t>
        </is>
      </c>
      <c r="I20" s="4" t="inlineStr">
        <is>
          <t>A pillar is marked above the Sinil Underpass (looks like a pillar inside the underpass)</t>
        </is>
      </c>
      <c r="J20" s="4" t="inlineStr">
        <is>
          <t>not marked (shown)</t>
        </is>
      </c>
      <c r="K20" s="4" t="inlineStr">
        <is>
          <t>None</t>
        </is>
      </c>
      <c r="L20" s="6" t="inlineStr">
        <is>
          <t>B - 2 / Major</t>
        </is>
      </c>
      <c r="M20" s="4" t="inlineStr">
        <is>
          <t>Always</t>
        </is>
      </c>
      <c r="N20" s="4" t="inlineStr">
        <is>
          <t>yes</t>
        </is>
      </c>
      <c r="O20" s="5" t="inlineStr">
        <is>
          <t>Other</t>
        </is>
      </c>
      <c r="P20" s="5" t="inlineStr">
        <is>
          <t>MapViewer</t>
        </is>
      </c>
      <c r="Q20" s="4" t="inlineStr">
        <is>
          <t>no</t>
        </is>
      </c>
    </row>
    <row r="21" ht="32.5" customHeight="1" s="11">
      <c r="A21" s="4" t="n"/>
      <c r="B21" s="4">
        <f>"Detected on Time &amp; Date
"&amp;TEXT($E$3,"yyyy-mm-dd")&amp;" "&amp;C21&amp;"
Test environment
HU version : "&amp;$H$3&amp;"
Navi version : "&amp;$H$4&amp;"
Map version : "&amp;$H$5&amp;"
Preconditions
"&amp;G21&amp;"
Error Path/Action
"&amp;H21&amp;"
Misbehavior/Reaction
"&amp;I21&amp;"
Expected Behavior
"&amp;J21&amp;"
Error Recovery
"&amp;K21&amp;"
Occurrence Count
"&amp;M21&amp;"
 Issue of specific location
"&amp;N21&amp;"
Log path
"&amp;D21&amp;"
"&amp;$E$7&amp;"
Remark
"&amp;E21</f>
        <v/>
      </c>
      <c r="C21" s="19">
        <f>TEXT(MID(D21, FIND(".", D21)-6, 6)*1, "00"":""00"":""00")</f>
        <v/>
      </c>
      <c r="D21" s="4" t="n"/>
      <c r="E21" s="4" t="n"/>
      <c r="F21" s="4" t="n"/>
      <c r="G21" s="4" t="n"/>
      <c r="H21" s="4" t="inlineStr">
        <is>
          <t>1. check map
location : 37.2893089,127.1431553</t>
        </is>
      </c>
      <c r="I21" s="4" t="inlineStr">
        <is>
          <t>There is no traffic flow on a part of Seokseong-ro</t>
        </is>
      </c>
      <c r="J21" s="4" t="inlineStr">
        <is>
          <t>flow should display</t>
        </is>
      </c>
      <c r="K21" s="4" t="inlineStr">
        <is>
          <t>None</t>
        </is>
      </c>
      <c r="L21" s="6" t="inlineStr">
        <is>
          <t>B - 2 / Major</t>
        </is>
      </c>
      <c r="M21" s="4" t="inlineStr">
        <is>
          <t>Always</t>
        </is>
      </c>
      <c r="N21" s="4" t="inlineStr">
        <is>
          <t>yes</t>
        </is>
      </c>
      <c r="O21" s="5" t="inlineStr">
        <is>
          <t>Other</t>
        </is>
      </c>
      <c r="P21" s="5" t="inlineStr">
        <is>
          <t>MapViewer</t>
        </is>
      </c>
      <c r="Q21" s="4" t="inlineStr">
        <is>
          <t>no</t>
        </is>
      </c>
    </row>
    <row r="22" ht="32.5" customHeight="1" s="11">
      <c r="A22" s="4" t="n"/>
      <c r="B22" s="4">
        <f>"Detected on Time &amp; Date
"&amp;TEXT($E$3,"yyyy-mm-dd")&amp;" "&amp;C22&amp;"
Test environment
HU version : "&amp;$H$3&amp;"
Navi version : "&amp;$H$4&amp;"
Map version : "&amp;$H$5&amp;"
Preconditions
"&amp;G22&amp;"
Error Path/Action
"&amp;H22&amp;"
Misbehavior/Reaction
"&amp;I22&amp;"
Expected Behavior
"&amp;J22&amp;"
Error Recovery
"&amp;K22&amp;"
Occurrence Count
"&amp;M22&amp;"
 Issue of specific location
"&amp;N22&amp;"
Log path
"&amp;D22&amp;"
"&amp;$E$7&amp;"
Remark
"&amp;E22</f>
        <v/>
      </c>
      <c r="C22" s="19">
        <f>TEXT(MID(D22, FIND(".", D22)-6, 6)*1, "00"":""00"":""00")</f>
        <v/>
      </c>
      <c r="D22" s="4" t="n"/>
      <c r="E22" s="4" t="n"/>
      <c r="F22" s="4" t="n"/>
      <c r="G22" s="4" t="n"/>
      <c r="H22" s="6" t="inlineStr">
        <is>
          <t>1. make a route
https://naver.me/FVF404vk
2. check map
location : 37.3490786,127.1089143</t>
        </is>
      </c>
      <c r="I22" s="4" t="inlineStr">
        <is>
          <t>When turning left at Migeum Station on Seongnam-daero, the adjacent left-turn lane is provided as a lane not recommended.</t>
        </is>
      </c>
      <c r="J22" s="4" t="inlineStr">
        <is>
          <t>should changed to recommand</t>
        </is>
      </c>
      <c r="K22" s="4" t="inlineStr">
        <is>
          <t>None</t>
        </is>
      </c>
      <c r="L22" s="6" t="inlineStr">
        <is>
          <t>A - 1 / Critical</t>
        </is>
      </c>
      <c r="M22" s="4" t="inlineStr">
        <is>
          <t>Always</t>
        </is>
      </c>
      <c r="N22" s="4" t="inlineStr">
        <is>
          <t>yes</t>
        </is>
      </c>
      <c r="O22" s="5" t="inlineStr">
        <is>
          <t>Other</t>
        </is>
      </c>
      <c r="P22" s="5" t="inlineStr">
        <is>
          <t>MapViewer</t>
        </is>
      </c>
      <c r="Q22" s="4" t="inlineStr">
        <is>
          <t>no</t>
        </is>
      </c>
    </row>
    <row r="23" ht="32.5" customHeight="1" s="11">
      <c r="A23" s="4" t="n"/>
      <c r="B23" s="4">
        <f>"Detected on Time &amp; Date
"&amp;TEXT($E$3,"yyyy-mm-dd")&amp;" "&amp;C23&amp;"
Test environment
HU version : "&amp;$H$3&amp;"
Navi version : "&amp;$H$4&amp;"
Map version : "&amp;$H$5&amp;"
Preconditions
"&amp;G23&amp;"
Error Path/Action
"&amp;H23&amp;"
Misbehavior/Reaction
"&amp;I23&amp;"
Expected Behavior
"&amp;J23&amp;"
Error Recovery
"&amp;K23&amp;"
Occurrence Count
"&amp;M23&amp;"
 Issue of specific location
"&amp;N23&amp;"
Log path
"&amp;D23&amp;"
"&amp;$E$7&amp;"
Remark
"&amp;E23</f>
        <v/>
      </c>
      <c r="C23" s="19">
        <f>TEXT(MID(D23, FIND(".", D23)-6, 6)*1, "00"":""00"":""00")</f>
        <v/>
      </c>
      <c r="D23" s="4" t="n"/>
      <c r="E23" s="4" t="n"/>
      <c r="F23" s="4" t="n"/>
      <c r="G23" s="4" t="n"/>
      <c r="H23" s="4" t="n"/>
      <c r="I23" s="4" t="n"/>
      <c r="J23" s="4" t="n"/>
      <c r="K23" s="4" t="inlineStr">
        <is>
          <t>None</t>
        </is>
      </c>
      <c r="L23" s="6" t="inlineStr">
        <is>
          <t>B - 2 / Major</t>
        </is>
      </c>
      <c r="M23" s="4" t="inlineStr">
        <is>
          <t>Always</t>
        </is>
      </c>
      <c r="N23" s="4" t="inlineStr">
        <is>
          <t>yes</t>
        </is>
      </c>
      <c r="O23" s="5" t="inlineStr">
        <is>
          <t>Other</t>
        </is>
      </c>
      <c r="P23" s="5" t="inlineStr">
        <is>
          <t>RouteCalculation</t>
        </is>
      </c>
      <c r="Q23" s="4" t="inlineStr">
        <is>
          <t>no</t>
        </is>
      </c>
    </row>
    <row r="24" ht="32.5" customHeight="1" s="11">
      <c r="A24" s="4" t="n"/>
      <c r="B24" s="4">
        <f>"Detected on Time &amp; Date
"&amp;TEXT($E$3,"yyyy-mm-dd")&amp;" "&amp;C24&amp;"
Test environment
HU version : "&amp;$H$3&amp;"
Navi version : "&amp;$H$4&amp;"
Map version : "&amp;$H$5&amp;"
Preconditions
"&amp;G24&amp;"
Error Path/Action
"&amp;H24&amp;"
Misbehavior/Reaction
"&amp;I24&amp;"
Expected Behavior
"&amp;J24&amp;"
Error Recovery
"&amp;K24&amp;"
Occurrence Count
"&amp;M24&amp;"
 Issue of specific location
"&amp;N24&amp;"
Log path
"&amp;D24&amp;"
"&amp;$E$7&amp;"
Remark
"&amp;E24</f>
        <v/>
      </c>
      <c r="C24" s="19">
        <f>TEXT(MID(D24, FIND(".", D24)-6, 6)*1, "00"":""00"":""00")</f>
        <v/>
      </c>
      <c r="D24" s="4" t="n"/>
      <c r="E24" s="4" t="n"/>
      <c r="F24" s="4" t="n"/>
      <c r="G24" s="4" t="n"/>
      <c r="H24" s="4" t="n"/>
      <c r="I24" s="4" t="n"/>
      <c r="J24" s="4" t="n"/>
      <c r="K24" s="4" t="inlineStr">
        <is>
          <t>None</t>
        </is>
      </c>
      <c r="L24" s="6" t="inlineStr">
        <is>
          <t>B - 2 / Major</t>
        </is>
      </c>
      <c r="M24" s="4" t="inlineStr">
        <is>
          <t>Once</t>
        </is>
      </c>
      <c r="N24" s="4" t="inlineStr">
        <is>
          <t>yes</t>
        </is>
      </c>
      <c r="O24" s="5" t="inlineStr">
        <is>
          <t>Other</t>
        </is>
      </c>
      <c r="P24" s="5" t="inlineStr">
        <is>
          <t>RouteGuidance</t>
        </is>
      </c>
      <c r="Q24" s="4" t="inlineStr">
        <is>
          <t>no</t>
        </is>
      </c>
    </row>
    <row r="25" ht="32.5" customHeight="1" s="11">
      <c r="A25" s="4" t="n"/>
      <c r="B25" s="4">
        <f>"Detected on Time &amp; Date
"&amp;TEXT($E$3,"yyyy-mm-dd")&amp;" "&amp;C25&amp;"
Test environment
HU version : "&amp;$H$3&amp;"
Navi version : "&amp;$H$4&amp;"
Map version : "&amp;$H$5&amp;"
Preconditions
"&amp;G25&amp;"
Error Path/Action
"&amp;H25&amp;"
Misbehavior/Reaction
"&amp;I25&amp;"
Expected Behavior
"&amp;J25&amp;"
Error Recovery
"&amp;K25&amp;"
Occurrence Count
"&amp;M25&amp;"
 Issue of specific location
"&amp;N25&amp;"
Log path
"&amp;D25&amp;"
"&amp;$E$7&amp;"
Remark
"&amp;E25</f>
        <v/>
      </c>
      <c r="C25" s="19">
        <f>TEXT(MID(D25, FIND(".", D25)-6, 6)*1, "00"":""00"":""00")</f>
        <v/>
      </c>
      <c r="D25" s="4" t="n"/>
      <c r="E25" s="4" t="n"/>
      <c r="F25" s="4" t="n"/>
      <c r="G25" s="4" t="n"/>
      <c r="H25" s="4" t="n"/>
      <c r="I25" s="4" t="n"/>
      <c r="J25" s="4" t="n"/>
      <c r="K25" s="4" t="inlineStr">
        <is>
          <t>None</t>
        </is>
      </c>
      <c r="L25" s="6" t="inlineStr">
        <is>
          <t>B - 2 / Major</t>
        </is>
      </c>
      <c r="M25" s="4" t="inlineStr">
        <is>
          <t>Once</t>
        </is>
      </c>
      <c r="N25" s="4" t="inlineStr">
        <is>
          <t>yes</t>
        </is>
      </c>
      <c r="O25" s="5" t="inlineStr">
        <is>
          <t>Other</t>
        </is>
      </c>
      <c r="P25" s="5" t="inlineStr">
        <is>
          <t>RouteGuidance</t>
        </is>
      </c>
      <c r="Q25" s="4" t="inlineStr">
        <is>
          <t>no</t>
        </is>
      </c>
    </row>
    <row r="26" ht="32.5" customHeight="1" s="11">
      <c r="A26" s="4" t="n"/>
      <c r="B26" s="4">
        <f>"Detected on Time &amp; Date
"&amp;TEXT($E$3,"yyyy-mm-dd")&amp;" "&amp;C26&amp;"
Test environment
HU version : "&amp;$H$3&amp;"
Navi version : "&amp;$H$4&amp;"
Map version : "&amp;$H$5&amp;"
Preconditions
"&amp;G26&amp;"
Error Path/Action
"&amp;H26&amp;"
Misbehavior/Reaction
"&amp;I26&amp;"
Expected Behavior
"&amp;J26&amp;"
Error Recovery
"&amp;K26&amp;"
Occurrence Count
"&amp;M26&amp;"
 Issue of specific location
"&amp;N26&amp;"
Log path
"&amp;D26&amp;"
"&amp;$E$7&amp;"
Remark
"&amp;E26</f>
        <v/>
      </c>
      <c r="C26" s="19">
        <f>TEXT(MID(D26, FIND(".", D26)-6, 6)*1, "00"":""00"":""00")</f>
        <v/>
      </c>
      <c r="D26" s="4" t="n"/>
      <c r="E26" s="4" t="n"/>
      <c r="F26" s="4" t="n"/>
      <c r="G26" s="4" t="n"/>
      <c r="H26" s="4" t="n"/>
      <c r="I26" s="4" t="n"/>
      <c r="J26" s="4" t="n"/>
      <c r="K26" s="4" t="inlineStr">
        <is>
          <t>None</t>
        </is>
      </c>
      <c r="L26" s="6" t="inlineStr">
        <is>
          <t>A - 1 / Critical</t>
        </is>
      </c>
      <c r="M26" s="4" t="inlineStr">
        <is>
          <t>Always</t>
        </is>
      </c>
      <c r="N26" s="4" t="inlineStr">
        <is>
          <t>yes</t>
        </is>
      </c>
      <c r="O26" s="5" t="inlineStr">
        <is>
          <t>Other</t>
        </is>
      </c>
      <c r="P26" s="5" t="inlineStr">
        <is>
          <t>RouteGuidance</t>
        </is>
      </c>
      <c r="Q26" s="4" t="inlineStr">
        <is>
          <t>no</t>
        </is>
      </c>
    </row>
    <row r="27" ht="32.5" customHeight="1" s="11">
      <c r="A27" s="4" t="n"/>
      <c r="B27" s="4">
        <f>"Detected on Time &amp; Date
"&amp;TEXT($E$3,"yyyy-mm-dd")&amp;" "&amp;C27&amp;"
Test environment
HU version : "&amp;$H$3&amp;"
Navi version : "&amp;$H$4&amp;"
Map version : "&amp;$H$5&amp;"
Preconditions
"&amp;G27&amp;"
Error Path/Action
"&amp;H27&amp;"
Misbehavior/Reaction
"&amp;I27&amp;"
Expected Behavior
"&amp;J27&amp;"
Error Recovery
"&amp;K27&amp;"
Occurrence Count
"&amp;M27&amp;"
 Issue of specific location
"&amp;N27&amp;"
Log path
"&amp;D27&amp;"
"&amp;$E$7&amp;"
Remark
"&amp;E27</f>
        <v/>
      </c>
      <c r="C27" s="19">
        <f>TEXT(MID(D27, FIND(".", D27)-6, 6)*1, "00"":""00"":""00")</f>
        <v/>
      </c>
      <c r="D27" s="4" t="n"/>
      <c r="E27" s="4" t="n"/>
      <c r="F27" s="4" t="n"/>
      <c r="G27" s="4" t="n"/>
      <c r="H27" s="4" t="n"/>
      <c r="I27" s="4" t="n"/>
      <c r="J27" s="4" t="n"/>
      <c r="K27" s="4" t="inlineStr">
        <is>
          <t>None</t>
        </is>
      </c>
      <c r="L27" s="6" t="inlineStr">
        <is>
          <t>B - 2 / Major</t>
        </is>
      </c>
      <c r="M27" s="4" t="inlineStr">
        <is>
          <t>Always</t>
        </is>
      </c>
      <c r="N27" s="4" t="inlineStr">
        <is>
          <t>yes</t>
        </is>
      </c>
      <c r="O27" s="5" t="inlineStr">
        <is>
          <t>Other</t>
        </is>
      </c>
      <c r="P27" s="5" t="inlineStr">
        <is>
          <t>RouteGuidance</t>
        </is>
      </c>
      <c r="Q27" s="4" t="inlineStr">
        <is>
          <t>no</t>
        </is>
      </c>
    </row>
    <row r="28" ht="32.5" customHeight="1" s="11">
      <c r="A28" s="4" t="n"/>
      <c r="B28" s="4">
        <f>"Detected on Time &amp; Date
"&amp;TEXT($E$3,"yyyy-mm-dd")&amp;" "&amp;C28&amp;"
Test environment
HU version : "&amp;$H$3&amp;"
Navi version : "&amp;$H$4&amp;"
Map version : "&amp;$H$5&amp;"
Preconditions
"&amp;G28&amp;"
Error Path/Action
"&amp;H28&amp;"
Misbehavior/Reaction
"&amp;I28&amp;"
Expected Behavior
"&amp;J28&amp;"
Error Recovery
"&amp;K28&amp;"
Occurrence Count
"&amp;M28&amp;"
 Issue of specific location
"&amp;N28&amp;"
Log path
"&amp;D28&amp;"
"&amp;$E$7&amp;"
Remark
"&amp;E28</f>
        <v/>
      </c>
      <c r="C28" s="19">
        <f>TEXT(MID(D28, FIND(".", D28)-6, 6)*1, "00"":""00"":""00")</f>
        <v/>
      </c>
      <c r="D28" s="4" t="n"/>
      <c r="E28" s="4" t="n"/>
      <c r="F28" s="4" t="n"/>
      <c r="G28" s="4" t="n"/>
      <c r="H28" s="4" t="n"/>
      <c r="I28" s="4" t="n"/>
      <c r="J28" s="4" t="n"/>
      <c r="K28" s="4" t="inlineStr">
        <is>
          <t>None</t>
        </is>
      </c>
      <c r="L28" s="6" t="inlineStr">
        <is>
          <t>A - 1 / Critical</t>
        </is>
      </c>
      <c r="M28" s="4" t="inlineStr">
        <is>
          <t>Once</t>
        </is>
      </c>
      <c r="N28" s="4" t="inlineStr">
        <is>
          <t>no</t>
        </is>
      </c>
      <c r="O28" s="5" t="inlineStr">
        <is>
          <t>Other</t>
        </is>
      </c>
      <c r="P28" s="5" t="inlineStr">
        <is>
          <t>MapViewer</t>
        </is>
      </c>
      <c r="Q28" s="4" t="inlineStr">
        <is>
          <t>no</t>
        </is>
      </c>
    </row>
    <row r="29" ht="32.5" customHeight="1" s="11">
      <c r="A29" s="4" t="n"/>
      <c r="B29" s="4">
        <f>"Detected on Time &amp; Date
"&amp;TEXT($E$3,"yyyy-mm-dd")&amp;" "&amp;C29&amp;"
Test environment
HU version : "&amp;$H$3&amp;"
Navi version : "&amp;$H$4&amp;"
Map version : "&amp;$H$5&amp;"
Preconditions
"&amp;G29&amp;"
Error Path/Action
"&amp;H29&amp;"
Misbehavior/Reaction
"&amp;I29&amp;"
Expected Behavior
"&amp;J29&amp;"
Error Recovery
"&amp;K29&amp;"
Occurrence Count
"&amp;M29&amp;"
 Issue of specific location
"&amp;N29&amp;"
Log path
"&amp;D29&amp;"
"&amp;$E$7&amp;"
Remark
"&amp;E29</f>
        <v/>
      </c>
      <c r="C29" s="19">
        <f>TEXT(MID(D29, FIND(".", D29)-6, 6)*1, "00"":""00"":""00")</f>
        <v/>
      </c>
      <c r="D29" s="4" t="n"/>
      <c r="E29" s="4" t="n"/>
      <c r="F29" s="4" t="n"/>
      <c r="G29" s="4" t="n"/>
      <c r="H29" s="4" t="n"/>
      <c r="I29" s="4" t="n"/>
      <c r="J29" s="4" t="n"/>
      <c r="K29" s="4" t="inlineStr">
        <is>
          <t>None</t>
        </is>
      </c>
      <c r="L29" s="6" t="inlineStr">
        <is>
          <t>A - 1 / Critical</t>
        </is>
      </c>
      <c r="M29" s="4" t="inlineStr">
        <is>
          <t>Once</t>
        </is>
      </c>
      <c r="N29" s="4" t="inlineStr">
        <is>
          <t>no</t>
        </is>
      </c>
      <c r="O29" s="5" t="inlineStr">
        <is>
          <t>Other</t>
        </is>
      </c>
      <c r="P29" s="5" t="inlineStr">
        <is>
          <t>MapViewer</t>
        </is>
      </c>
      <c r="Q29" s="4" t="inlineStr">
        <is>
          <t>no</t>
        </is>
      </c>
    </row>
    <row r="30" ht="32.5" customHeight="1" s="11">
      <c r="A30" s="4" t="n"/>
      <c r="B30" s="4">
        <f>"Detected on Time &amp; Date
"&amp;TEXT($E$3,"yyyy-mm-dd")&amp;" "&amp;C30&amp;"
Test environment
HU version : "&amp;$H$3&amp;"
Navi version : "&amp;$H$4&amp;"
Map version : "&amp;$H$5&amp;"
Preconditions
"&amp;G30&amp;"
Error Path/Action
"&amp;H30&amp;"
Misbehavior/Reaction
"&amp;I30&amp;"
Expected Behavior
"&amp;J30&amp;"
Error Recovery
"&amp;K30&amp;"
Occurrence Count
"&amp;M30&amp;"
 Issue of specific location
"&amp;N30&amp;"
Log path
"&amp;D30&amp;"
"&amp;$E$7&amp;"
Remark
"&amp;E30</f>
        <v/>
      </c>
      <c r="C30" s="19">
        <f>TEXT(MID(D30, FIND(".", D30)-6, 6)*1, "00"":""00"":""00")</f>
        <v/>
      </c>
      <c r="D30" s="4" t="n"/>
      <c r="E30" s="4" t="n"/>
      <c r="F30" s="4" t="n"/>
      <c r="G30" s="4" t="n"/>
      <c r="H30" s="4" t="n"/>
      <c r="I30" s="4" t="n"/>
      <c r="J30" s="4" t="n"/>
      <c r="K30" s="4" t="inlineStr">
        <is>
          <t>None</t>
        </is>
      </c>
      <c r="L30" s="6" t="inlineStr">
        <is>
          <t>A - 1 / Critical</t>
        </is>
      </c>
      <c r="M30" s="4" t="inlineStr">
        <is>
          <t>Once</t>
        </is>
      </c>
      <c r="N30" s="4" t="inlineStr">
        <is>
          <t>no</t>
        </is>
      </c>
      <c r="O30" s="5" t="inlineStr">
        <is>
          <t>Other</t>
        </is>
      </c>
      <c r="P30" s="5" t="inlineStr">
        <is>
          <t>MapViewer</t>
        </is>
      </c>
      <c r="Q30" s="4" t="inlineStr">
        <is>
          <t>no</t>
        </is>
      </c>
    </row>
    <row r="31" ht="32.5" customHeight="1" s="11">
      <c r="A31" s="4" t="n"/>
      <c r="B31" s="4">
        <f>"Detected on Time &amp; Date
"&amp;TEXT($E$3,"yyyy-mm-dd")&amp;" "&amp;C31&amp;"
Test environment
HU version : "&amp;$H$3&amp;"
Navi version : "&amp;$H$4&amp;"
Map version : "&amp;$H$5&amp;"
Preconditions
"&amp;G31&amp;"
Error Path/Action
"&amp;H31&amp;"
Misbehavior/Reaction
"&amp;I31&amp;"
Expected Behavior
"&amp;J31&amp;"
Error Recovery
"&amp;K31&amp;"
Occurrence Count
"&amp;M31&amp;"
 Issue of specific location
"&amp;N31&amp;"
Log path
"&amp;D31&amp;"
"&amp;$E$7&amp;"
Remark
"&amp;E31</f>
        <v/>
      </c>
      <c r="C31" s="19">
        <f>TEXT(MID(D31, FIND(".", D31)-6, 6)*1, "00"":""00"":""00")</f>
        <v/>
      </c>
      <c r="D31" s="4" t="n"/>
      <c r="E31" s="4" t="n"/>
      <c r="F31" s="4" t="n"/>
      <c r="G31" s="4" t="n"/>
      <c r="H31" s="4" t="n"/>
      <c r="I31" s="4" t="n"/>
      <c r="J31" s="4" t="n"/>
      <c r="K31" s="4" t="inlineStr">
        <is>
          <t>None</t>
        </is>
      </c>
      <c r="L31" s="6" t="inlineStr">
        <is>
          <t>A - 1 / Critical</t>
        </is>
      </c>
      <c r="M31" s="4" t="inlineStr">
        <is>
          <t>Once</t>
        </is>
      </c>
      <c r="N31" s="4" t="inlineStr">
        <is>
          <t>no</t>
        </is>
      </c>
      <c r="O31" s="5" t="inlineStr">
        <is>
          <t>Other</t>
        </is>
      </c>
      <c r="P31" s="5" t="inlineStr">
        <is>
          <t>MapViewer</t>
        </is>
      </c>
      <c r="Q31" s="4" t="inlineStr">
        <is>
          <t>no</t>
        </is>
      </c>
    </row>
    <row r="32" ht="32.5" customHeight="1" s="11">
      <c r="A32" s="4" t="n"/>
      <c r="B32" s="4">
        <f>"Detected on Time &amp; Date
"&amp;TEXT($E$3,"yyyy-mm-dd")&amp;" "&amp;C32&amp;"
Test environment
HU version : "&amp;$H$3&amp;"
Navi version : "&amp;$H$4&amp;"
Map version : "&amp;$H$5&amp;"
Preconditions
"&amp;G32&amp;"
Error Path/Action
"&amp;H32&amp;"
Misbehavior/Reaction
"&amp;I32&amp;"
Expected Behavior
"&amp;J32&amp;"
Error Recovery
"&amp;K32&amp;"
Occurrence Count
"&amp;M32&amp;"
 Issue of specific location
"&amp;N32&amp;"
Log path
"&amp;D32&amp;"
"&amp;$E$7&amp;"
Remark
"&amp;E32</f>
        <v/>
      </c>
      <c r="C32" s="19">
        <f>TEXT(MID(D32, FIND(".", D32)-6, 6)*1, "00"":""00"":""00")</f>
        <v/>
      </c>
      <c r="D32" s="4" t="n"/>
      <c r="E32" s="4" t="n"/>
      <c r="F32" s="4" t="n"/>
      <c r="G32" s="4" t="n"/>
      <c r="H32" s="4" t="n"/>
      <c r="I32" s="4" t="n"/>
      <c r="J32" s="4" t="n"/>
      <c r="K32" s="4" t="inlineStr">
        <is>
          <t>None</t>
        </is>
      </c>
      <c r="L32" s="6" t="inlineStr">
        <is>
          <t>A - 1 / Critical</t>
        </is>
      </c>
      <c r="M32" s="4" t="inlineStr">
        <is>
          <t>Once</t>
        </is>
      </c>
      <c r="N32" s="4" t="inlineStr">
        <is>
          <t>no</t>
        </is>
      </c>
      <c r="O32" s="5" t="inlineStr">
        <is>
          <t>Other</t>
        </is>
      </c>
      <c r="P32" s="5" t="inlineStr">
        <is>
          <t>MapViewer</t>
        </is>
      </c>
      <c r="Q32" s="4" t="inlineStr">
        <is>
          <t>no</t>
        </is>
      </c>
    </row>
    <row r="33" ht="32.5" customHeight="1" s="11">
      <c r="A33" s="4" t="n"/>
      <c r="B33" s="4">
        <f>"Detected on Time &amp; Date
"&amp;TEXT($E$3,"yyyy-mm-dd")&amp;" "&amp;C33&amp;"
Test environment
HU version : "&amp;$H$3&amp;"
Navi version : "&amp;$H$4&amp;"
Map version : "&amp;$H$5&amp;"
Preconditions
"&amp;G33&amp;"
Error Path/Action
"&amp;H33&amp;"
Misbehavior/Reaction
"&amp;I33&amp;"
Expected Behavior
"&amp;J33&amp;"
Error Recovery
"&amp;K33&amp;"
Occurrence Count
"&amp;M33&amp;"
 Issue of specific location
"&amp;N33&amp;"
Log path
"&amp;D33&amp;"
"&amp;$E$7&amp;"
Remark
"&amp;E33</f>
        <v/>
      </c>
      <c r="C33" s="19">
        <f>TEXT(MID(D33, FIND(".", D33)-6, 6)*1, "00"":""00"":""00")</f>
        <v/>
      </c>
      <c r="D33" s="4" t="n"/>
      <c r="E33" s="4" t="n"/>
      <c r="F33" s="4" t="n"/>
      <c r="G33" s="4" t="n"/>
      <c r="H33" s="4" t="n"/>
      <c r="I33" s="4" t="n"/>
      <c r="J33" s="4" t="n"/>
      <c r="K33" s="4" t="inlineStr">
        <is>
          <t>None</t>
        </is>
      </c>
      <c r="L33" s="6" t="inlineStr">
        <is>
          <t>A - 1 / Critical</t>
        </is>
      </c>
      <c r="M33" s="4" t="inlineStr">
        <is>
          <t>Once</t>
        </is>
      </c>
      <c r="N33" s="4" t="inlineStr">
        <is>
          <t>no</t>
        </is>
      </c>
      <c r="O33" s="5" t="inlineStr">
        <is>
          <t>Other</t>
        </is>
      </c>
      <c r="P33" s="5" t="inlineStr">
        <is>
          <t>MapViewer</t>
        </is>
      </c>
      <c r="Q33" s="4" t="inlineStr">
        <is>
          <t>no</t>
        </is>
      </c>
    </row>
    <row r="34" ht="32.5" customHeight="1" s="11">
      <c r="A34" s="4" t="n"/>
      <c r="B34" s="4">
        <f>"Detected on Time &amp; Date
"&amp;TEXT($E$3,"yyyy-mm-dd")&amp;" "&amp;C34&amp;"
Test environment
HU version : "&amp;$H$3&amp;"
Navi version : "&amp;$H$4&amp;"
Map version : "&amp;$H$5&amp;"
Preconditions
"&amp;G34&amp;"
Error Path/Action
"&amp;H34&amp;"
Misbehavior/Reaction
"&amp;I34&amp;"
Expected Behavior
"&amp;J34&amp;"
Error Recovery
"&amp;K34&amp;"
Occurrence Count
"&amp;M34&amp;"
 Issue of specific location
"&amp;N34&amp;"
Log path
"&amp;D34&amp;"
"&amp;$E$7&amp;"
Remark
"&amp;E34</f>
        <v/>
      </c>
      <c r="C34" s="19">
        <f>TEXT(MID(D34, FIND(".", D34)-6, 6)*1, "00"":""00"":""00")</f>
        <v/>
      </c>
      <c r="D34" s="4" t="n"/>
      <c r="E34" s="4" t="n"/>
      <c r="F34" s="4" t="n"/>
      <c r="G34" s="4" t="n"/>
      <c r="H34" s="4" t="n"/>
      <c r="I34" s="4" t="n"/>
      <c r="J34" s="4" t="n"/>
      <c r="K34" s="4" t="inlineStr">
        <is>
          <t>None</t>
        </is>
      </c>
      <c r="L34" s="6" t="inlineStr">
        <is>
          <t>A - 1 / Critical</t>
        </is>
      </c>
      <c r="M34" s="4" t="inlineStr">
        <is>
          <t>Once</t>
        </is>
      </c>
      <c r="N34" s="4" t="inlineStr">
        <is>
          <t>no</t>
        </is>
      </c>
      <c r="O34" s="5" t="inlineStr">
        <is>
          <t>Other</t>
        </is>
      </c>
      <c r="P34" s="5" t="inlineStr">
        <is>
          <t>MapViewer</t>
        </is>
      </c>
      <c r="Q34" s="4" t="inlineStr">
        <is>
          <t>no</t>
        </is>
      </c>
    </row>
    <row r="35" ht="32.5" customHeight="1" s="11">
      <c r="A35" s="4" t="n"/>
      <c r="B35" s="4">
        <f>"Detected on Time &amp; Date
"&amp;TEXT($E$3,"yyyy-mm-dd")&amp;" "&amp;C35&amp;"
Test environment
HU version : "&amp;$H$3&amp;"
Navi version : "&amp;$H$4&amp;"
Map version : "&amp;$H$5&amp;"
Preconditions
"&amp;G35&amp;"
Error Path/Action
"&amp;H35&amp;"
Misbehavior/Reaction
"&amp;I35&amp;"
Expected Behavior
"&amp;J35&amp;"
Error Recovery
"&amp;K35&amp;"
Occurrence Count
"&amp;M35&amp;"
 Issue of specific location
"&amp;N35&amp;"
Log path
"&amp;D35&amp;"
"&amp;$E$7&amp;"
Remark
"&amp;E35</f>
        <v/>
      </c>
      <c r="C35" s="19">
        <f>TEXT(MID(D35, FIND(".", D35)-6, 6)*1, "00"":""00"":""00")</f>
        <v/>
      </c>
      <c r="D35" s="4" t="n"/>
      <c r="E35" s="4" t="n"/>
      <c r="F35" s="4" t="n"/>
      <c r="G35" s="4" t="n"/>
      <c r="H35" s="4" t="n"/>
      <c r="I35" s="4" t="n"/>
      <c r="J35" s="4" t="n"/>
      <c r="K35" s="4" t="inlineStr">
        <is>
          <t>None</t>
        </is>
      </c>
      <c r="L35" s="6" t="inlineStr">
        <is>
          <t>A - 1 / Critical</t>
        </is>
      </c>
      <c r="M35" s="4" t="inlineStr">
        <is>
          <t>Once</t>
        </is>
      </c>
      <c r="N35" s="4" t="inlineStr">
        <is>
          <t>no</t>
        </is>
      </c>
      <c r="O35" s="5" t="inlineStr">
        <is>
          <t>Other</t>
        </is>
      </c>
      <c r="P35" s="5" t="inlineStr">
        <is>
          <t>MapViewer</t>
        </is>
      </c>
      <c r="Q35" s="4" t="inlineStr">
        <is>
          <t>no</t>
        </is>
      </c>
    </row>
    <row r="36" ht="32.5" customHeight="1" s="11">
      <c r="A36" s="4" t="n"/>
      <c r="B36" s="4">
        <f>"Detected on Time &amp; Date
"&amp;TEXT($E$3,"yyyy-mm-dd")&amp;" "&amp;C36&amp;"
Test environment
HU version : "&amp;$H$3&amp;"
Navi version : "&amp;$H$4&amp;"
Map version : "&amp;$H$5&amp;"
Preconditions
"&amp;G36&amp;"
Error Path/Action
"&amp;H36&amp;"
Misbehavior/Reaction
"&amp;I36&amp;"
Expected Behavior
"&amp;J36&amp;"
Error Recovery
"&amp;K36&amp;"
Occurrence Count
"&amp;M36&amp;"
 Issue of specific location
"&amp;N36&amp;"
Log path
"&amp;D36&amp;"
"&amp;$E$7&amp;"
Remark
"&amp;E36</f>
        <v/>
      </c>
      <c r="C36" s="19">
        <f>TEXT(MID(D36, FIND(".", D36)-6, 6)*1, "00"":""00"":""00")</f>
        <v/>
      </c>
      <c r="D36" s="4" t="n"/>
      <c r="E36" s="4" t="n"/>
      <c r="F36" s="4" t="n"/>
      <c r="G36" s="4" t="n"/>
      <c r="H36" s="4" t="n"/>
      <c r="I36" s="4" t="n"/>
      <c r="J36" s="4" t="n"/>
      <c r="K36" s="4" t="inlineStr">
        <is>
          <t>None</t>
        </is>
      </c>
      <c r="L36" s="6" t="inlineStr">
        <is>
          <t>A - 1 / Critical</t>
        </is>
      </c>
      <c r="M36" s="4" t="inlineStr">
        <is>
          <t>Once</t>
        </is>
      </c>
      <c r="N36" s="4" t="inlineStr">
        <is>
          <t>no</t>
        </is>
      </c>
      <c r="O36" s="5" t="inlineStr">
        <is>
          <t>Other</t>
        </is>
      </c>
      <c r="P36" s="5" t="inlineStr">
        <is>
          <t>MapViewer</t>
        </is>
      </c>
      <c r="Q36" s="4" t="inlineStr">
        <is>
          <t>no</t>
        </is>
      </c>
    </row>
    <row r="37" ht="32.5" customHeight="1" s="11">
      <c r="A37" s="4" t="n"/>
      <c r="B37" s="4">
        <f>"Detected on Time &amp; Date
"&amp;TEXT($E$3,"yyyy-mm-dd")&amp;" "&amp;C37&amp;"
Test environment
HU version : "&amp;$H$3&amp;"
Navi version : "&amp;$H$4&amp;"
Map version : "&amp;$H$5&amp;"
Preconditions
"&amp;G37&amp;"
Error Path/Action
"&amp;H37&amp;"
Misbehavior/Reaction
"&amp;I37&amp;"
Expected Behavior
"&amp;J37&amp;"
Error Recovery
"&amp;K37&amp;"
Occurrence Count
"&amp;M37&amp;"
 Issue of specific location
"&amp;N37&amp;"
Log path
"&amp;D37&amp;"
"&amp;$E$7&amp;"
Remark
"&amp;E37</f>
        <v/>
      </c>
      <c r="C37" s="19">
        <f>TEXT(MID(D37, FIND(".", D37)-6, 6)*1, "00"":""00"":""00")</f>
        <v/>
      </c>
      <c r="D37" s="4" t="n"/>
      <c r="E37" s="4" t="n"/>
      <c r="F37" s="4" t="n"/>
      <c r="G37" s="4" t="n"/>
      <c r="H37" s="4" t="n"/>
      <c r="I37" s="4" t="n"/>
      <c r="J37" s="4" t="n"/>
      <c r="K37" s="4" t="inlineStr">
        <is>
          <t>None</t>
        </is>
      </c>
      <c r="L37" s="6" t="inlineStr">
        <is>
          <t>A - 1 / Critical</t>
        </is>
      </c>
      <c r="M37" s="4" t="inlineStr">
        <is>
          <t>Once</t>
        </is>
      </c>
      <c r="N37" s="4" t="inlineStr">
        <is>
          <t>no</t>
        </is>
      </c>
      <c r="O37" s="5" t="inlineStr">
        <is>
          <t>Other</t>
        </is>
      </c>
      <c r="P37" s="5" t="inlineStr">
        <is>
          <t>MapViewer</t>
        </is>
      </c>
      <c r="Q37" s="4" t="inlineStr">
        <is>
          <t>no</t>
        </is>
      </c>
    </row>
    <row r="38" ht="32.5" customHeight="1" s="11">
      <c r="A38" s="4" t="n"/>
      <c r="B38" s="4">
        <f>"Detected on Time &amp; Date
"&amp;TEXT($E$3,"yyyy-mm-dd")&amp;" "&amp;C38&amp;"
Test environment
HU version : "&amp;$H$3&amp;"
Navi version : "&amp;$H$4&amp;"
Map version : "&amp;$H$5&amp;"
Preconditions
"&amp;G38&amp;"
Error Path/Action
"&amp;H38&amp;"
Misbehavior/Reaction
"&amp;I38&amp;"
Expected Behavior
"&amp;J38&amp;"
Error Recovery
"&amp;K38&amp;"
Occurrence Count
"&amp;M38&amp;"
 Issue of specific location
"&amp;N38&amp;"
Log path
"&amp;D38&amp;"
"&amp;$E$7&amp;"
Remark
"&amp;E38</f>
        <v/>
      </c>
      <c r="C38" s="19">
        <f>TEXT(MID(D38, FIND(".", D38)-6, 6)*1, "00"":""00"":""00")</f>
        <v/>
      </c>
      <c r="D38" s="4" t="n"/>
      <c r="E38" s="4" t="n"/>
      <c r="F38" s="4" t="n"/>
      <c r="G38" s="4" t="n"/>
      <c r="H38" s="4" t="n"/>
      <c r="I38" s="4" t="n"/>
      <c r="J38" s="4" t="n"/>
      <c r="K38" s="4" t="inlineStr">
        <is>
          <t>None</t>
        </is>
      </c>
      <c r="L38" s="6" t="inlineStr">
        <is>
          <t>A - 1 / Critical</t>
        </is>
      </c>
      <c r="M38" s="4" t="inlineStr">
        <is>
          <t>Once</t>
        </is>
      </c>
      <c r="N38" s="4" t="inlineStr">
        <is>
          <t>no</t>
        </is>
      </c>
      <c r="O38" s="5" t="inlineStr">
        <is>
          <t>Other</t>
        </is>
      </c>
      <c r="P38" s="5" t="inlineStr">
        <is>
          <t>MapViewer</t>
        </is>
      </c>
      <c r="Q38" s="4" t="inlineStr">
        <is>
          <t>no</t>
        </is>
      </c>
    </row>
    <row r="39" ht="32.5" customHeight="1" s="11">
      <c r="A39" s="4" t="n"/>
      <c r="B39" s="4">
        <f>"Detected on Time &amp; Date
"&amp;TEXT($E$3,"yyyy-mm-dd")&amp;" "&amp;C39&amp;"
Test environment
HU version : "&amp;$H$3&amp;"
Navi version : "&amp;$H$4&amp;"
Map version : "&amp;$H$5&amp;"
Preconditions
"&amp;G39&amp;"
Error Path/Action
"&amp;H39&amp;"
Misbehavior/Reaction
"&amp;I39&amp;"
Expected Behavior
"&amp;J39&amp;"
Error Recovery
"&amp;K39&amp;"
Occurrence Count
"&amp;M39&amp;"
 Issue of specific location
"&amp;N39&amp;"
Log path
"&amp;D39&amp;"
"&amp;$E$7&amp;"
Remark
"&amp;E39</f>
        <v/>
      </c>
      <c r="C39" s="19">
        <f>TEXT(MID(D39, FIND(".", D39)-6, 6)*1, "00"":""00"":""00")</f>
        <v/>
      </c>
      <c r="D39" s="4" t="n"/>
      <c r="E39" s="4" t="n"/>
      <c r="F39" s="4" t="n"/>
      <c r="G39" s="4" t="n"/>
      <c r="H39" s="4" t="n"/>
      <c r="I39" s="4" t="n"/>
      <c r="J39" s="4" t="n"/>
      <c r="K39" s="4" t="inlineStr">
        <is>
          <t>None</t>
        </is>
      </c>
      <c r="L39" s="6" t="inlineStr">
        <is>
          <t>A - 1 / Critical</t>
        </is>
      </c>
      <c r="M39" s="4" t="inlineStr">
        <is>
          <t>Once</t>
        </is>
      </c>
      <c r="N39" s="4" t="inlineStr">
        <is>
          <t>no</t>
        </is>
      </c>
      <c r="O39" s="5" t="inlineStr">
        <is>
          <t>Other</t>
        </is>
      </c>
      <c r="P39" s="5" t="inlineStr">
        <is>
          <t>MapViewer</t>
        </is>
      </c>
      <c r="Q39" s="4" t="inlineStr">
        <is>
          <t>no</t>
        </is>
      </c>
    </row>
    <row r="40" ht="32.5" customHeight="1" s="11">
      <c r="A40" s="4" t="n"/>
      <c r="B40" s="4">
        <f>"Detected on Time &amp; Date
"&amp;TEXT($E$3,"yyyy-mm-dd")&amp;" "&amp;C40&amp;"
Test environment
HU version : "&amp;$H$3&amp;"
Navi version : "&amp;$H$4&amp;"
Map version : "&amp;$H$5&amp;"
Preconditions
"&amp;G40&amp;"
Error Path/Action
"&amp;H40&amp;"
Misbehavior/Reaction
"&amp;I40&amp;"
Expected Behavior
"&amp;J40&amp;"
Error Recovery
"&amp;K40&amp;"
Occurrence Count
"&amp;M40&amp;"
 Issue of specific location
"&amp;N40&amp;"
Log path
"&amp;D40&amp;"
"&amp;$E$7&amp;"
Remark
"&amp;E40</f>
        <v/>
      </c>
      <c r="C40" s="19">
        <f>TEXT(MID(D40, FIND(".", D40)-6, 6)*1, "00"":""00"":""00")</f>
        <v/>
      </c>
      <c r="D40" s="4" t="n"/>
      <c r="E40" s="4" t="n"/>
      <c r="F40" s="4" t="n"/>
      <c r="G40" s="4" t="n"/>
      <c r="H40" s="4" t="n"/>
      <c r="I40" s="4" t="n"/>
      <c r="J40" s="4" t="n"/>
      <c r="K40" s="4" t="inlineStr">
        <is>
          <t>None</t>
        </is>
      </c>
      <c r="L40" s="6" t="inlineStr">
        <is>
          <t>A - 1 / Critical</t>
        </is>
      </c>
      <c r="M40" s="4" t="inlineStr">
        <is>
          <t>Once</t>
        </is>
      </c>
      <c r="N40" s="4" t="inlineStr">
        <is>
          <t>no</t>
        </is>
      </c>
      <c r="O40" s="5" t="inlineStr">
        <is>
          <t>Other</t>
        </is>
      </c>
      <c r="P40" s="5" t="inlineStr">
        <is>
          <t>MapViewer</t>
        </is>
      </c>
      <c r="Q40" s="4" t="inlineStr">
        <is>
          <t>no</t>
        </is>
      </c>
    </row>
    <row r="41" ht="32.5" customHeight="1" s="11">
      <c r="A41" s="4" t="n"/>
      <c r="B41" s="4">
        <f>"Detected on Time &amp; Date
"&amp;TEXT($E$3,"yyyy-mm-dd")&amp;" "&amp;C41&amp;"
Test environment
HU version : "&amp;$H$3&amp;"
Navi version : "&amp;$H$4&amp;"
Map version : "&amp;$H$5&amp;"
Preconditions
"&amp;G41&amp;"
Error Path/Action
"&amp;H41&amp;"
Misbehavior/Reaction
"&amp;I41&amp;"
Expected Behavior
"&amp;J41&amp;"
Error Recovery
"&amp;K41&amp;"
Occurrence Count
"&amp;M41&amp;"
 Issue of specific location
"&amp;N41&amp;"
Log path
"&amp;D41&amp;"
"&amp;$E$7&amp;"
Remark
"&amp;E41</f>
        <v/>
      </c>
      <c r="C41" s="19">
        <f>TEXT(MID(D41, FIND(".", D41)-6, 6)*1, "00"":""00"":""00")</f>
        <v/>
      </c>
      <c r="D41" s="4" t="n"/>
      <c r="E41" s="4" t="n"/>
      <c r="F41" s="4" t="n"/>
      <c r="G41" s="4" t="n"/>
      <c r="H41" s="4" t="n"/>
      <c r="I41" s="4" t="n"/>
      <c r="J41" s="4" t="n"/>
      <c r="K41" s="4" t="inlineStr">
        <is>
          <t>None</t>
        </is>
      </c>
      <c r="L41" s="6" t="inlineStr">
        <is>
          <t>A - 1 / Critical</t>
        </is>
      </c>
      <c r="M41" s="4" t="inlineStr">
        <is>
          <t>Once</t>
        </is>
      </c>
      <c r="N41" s="4" t="inlineStr">
        <is>
          <t>no</t>
        </is>
      </c>
      <c r="O41" s="5" t="inlineStr">
        <is>
          <t>Other</t>
        </is>
      </c>
      <c r="P41" s="5" t="inlineStr">
        <is>
          <t>MapViewer</t>
        </is>
      </c>
      <c r="Q41" s="4" t="inlineStr">
        <is>
          <t>no</t>
        </is>
      </c>
    </row>
    <row r="42" ht="32.5" customHeight="1" s="11">
      <c r="A42" s="4" t="n"/>
      <c r="B42" s="4">
        <f>"Detected on Time &amp; Date
"&amp;TEXT($E$3,"yyyy-mm-dd")&amp;" "&amp;C42&amp;"
Test environment
HU version : "&amp;$H$3&amp;"
Navi version : "&amp;$H$4&amp;"
Map version : "&amp;$H$5&amp;"
Preconditions
"&amp;G42&amp;"
Error Path/Action
"&amp;H42&amp;"
Misbehavior/Reaction
"&amp;I42&amp;"
Expected Behavior
"&amp;J42&amp;"
Error Recovery
"&amp;K42&amp;"
Occurrence Count
"&amp;M42&amp;"
 Issue of specific location
"&amp;N42&amp;"
Log path
"&amp;D42&amp;"
"&amp;$E$7&amp;"
Remark
"&amp;E42</f>
        <v/>
      </c>
      <c r="C42" s="19">
        <f>TEXT(MID(D42, FIND(".", D42)-6, 6)*1, "00"":""00"":""00")</f>
        <v/>
      </c>
      <c r="D42" s="4" t="n"/>
      <c r="E42" s="4" t="n"/>
      <c r="F42" s="4" t="n"/>
      <c r="G42" s="4" t="n"/>
      <c r="H42" s="4" t="n"/>
      <c r="I42" s="4" t="n"/>
      <c r="J42" s="4" t="n"/>
      <c r="K42" s="4" t="inlineStr">
        <is>
          <t>None</t>
        </is>
      </c>
      <c r="L42" s="6" t="inlineStr">
        <is>
          <t>A - 1 / Critical</t>
        </is>
      </c>
      <c r="M42" s="4" t="inlineStr">
        <is>
          <t>Once</t>
        </is>
      </c>
      <c r="N42" s="4" t="inlineStr">
        <is>
          <t>no</t>
        </is>
      </c>
      <c r="O42" s="5" t="inlineStr">
        <is>
          <t>Other</t>
        </is>
      </c>
      <c r="P42" s="5" t="inlineStr">
        <is>
          <t>MapViewer</t>
        </is>
      </c>
      <c r="Q42" s="4" t="inlineStr">
        <is>
          <t>no</t>
        </is>
      </c>
    </row>
    <row r="43" ht="32.5" customHeight="1" s="11">
      <c r="A43" s="4" t="n"/>
      <c r="B43" s="4">
        <f>"Detected on Time &amp; Date
"&amp;TEXT($E$3,"yyyy-mm-dd")&amp;" "&amp;C43&amp;"
Test environment
HU version : "&amp;$H$3&amp;"
Navi version : "&amp;$H$4&amp;"
Map version : "&amp;$H$5&amp;"
Preconditions
"&amp;G43&amp;"
Error Path/Action
"&amp;H43&amp;"
Misbehavior/Reaction
"&amp;I43&amp;"
Expected Behavior
"&amp;J43&amp;"
Error Recovery
"&amp;K43&amp;"
Occurrence Count
"&amp;M43&amp;"
 Issue of specific location
"&amp;N43&amp;"
Log path
"&amp;D43&amp;"
"&amp;$E$7&amp;"
Remark
"&amp;E43</f>
        <v/>
      </c>
      <c r="C43" s="19">
        <f>TEXT(MID(D43, FIND(".", D43)-6, 6)*1, "00"":""00"":""00")</f>
        <v/>
      </c>
      <c r="D43" s="4" t="n"/>
      <c r="E43" s="4" t="n"/>
      <c r="F43" s="4" t="n"/>
      <c r="G43" s="4" t="n"/>
      <c r="H43" s="4" t="n"/>
      <c r="I43" s="4" t="n"/>
      <c r="J43" s="4" t="n"/>
      <c r="K43" s="4" t="inlineStr">
        <is>
          <t>None</t>
        </is>
      </c>
      <c r="L43" s="6" t="inlineStr">
        <is>
          <t>A - 1 / Critical</t>
        </is>
      </c>
      <c r="M43" s="4" t="inlineStr">
        <is>
          <t>Once</t>
        </is>
      </c>
      <c r="N43" s="4" t="inlineStr">
        <is>
          <t>no</t>
        </is>
      </c>
      <c r="O43" s="5" t="inlineStr">
        <is>
          <t>Other</t>
        </is>
      </c>
      <c r="P43" s="5" t="inlineStr">
        <is>
          <t>MapViewer</t>
        </is>
      </c>
      <c r="Q43" s="4" t="inlineStr">
        <is>
          <t>no</t>
        </is>
      </c>
    </row>
    <row r="44" ht="32.5" customHeight="1" s="11">
      <c r="A44" s="4" t="n"/>
      <c r="B44" s="4">
        <f>"Detected on Time &amp; Date
"&amp;TEXT($E$3,"yyyy-mm-dd")&amp;" "&amp;C44&amp;"
Test environment
HU version : "&amp;$H$3&amp;"
Navi version : "&amp;$H$4&amp;"
Map version : "&amp;$H$5&amp;"
Preconditions
"&amp;G44&amp;"
Error Path/Action
"&amp;H44&amp;"
Misbehavior/Reaction
"&amp;I44&amp;"
Expected Behavior
"&amp;J44&amp;"
Error Recovery
"&amp;K44&amp;"
Occurrence Count
"&amp;M44&amp;"
 Issue of specific location
"&amp;N44&amp;"
Log path
"&amp;D44&amp;"
"&amp;$E$7&amp;"
Remark
"&amp;E44</f>
        <v/>
      </c>
      <c r="C44" s="19">
        <f>TEXT(MID(D44, FIND(".", D44)-6, 6)*1, "00"":""00"":""00")</f>
        <v/>
      </c>
      <c r="D44" s="4" t="n"/>
      <c r="E44" s="4" t="n"/>
      <c r="F44" s="4" t="n"/>
      <c r="G44" s="4" t="n"/>
      <c r="H44" s="4" t="n"/>
      <c r="I44" s="4" t="n"/>
      <c r="J44" s="4" t="n"/>
      <c r="K44" s="4" t="inlineStr">
        <is>
          <t>None</t>
        </is>
      </c>
      <c r="L44" s="6" t="inlineStr">
        <is>
          <t>A - 1 / Critical</t>
        </is>
      </c>
      <c r="M44" s="4" t="inlineStr">
        <is>
          <t>Once</t>
        </is>
      </c>
      <c r="N44" s="4" t="inlineStr">
        <is>
          <t>no</t>
        </is>
      </c>
      <c r="O44" s="5" t="inlineStr">
        <is>
          <t>Other</t>
        </is>
      </c>
      <c r="P44" s="5" t="inlineStr">
        <is>
          <t>MapViewer</t>
        </is>
      </c>
      <c r="Q44" s="4" t="inlineStr">
        <is>
          <t>no</t>
        </is>
      </c>
    </row>
    <row r="45" ht="32.5" customHeight="1" s="11">
      <c r="A45" s="4" t="n"/>
      <c r="B45" s="4">
        <f>"Detected on Time &amp; Date
"&amp;TEXT($E$3,"yyyy-mm-dd")&amp;" "&amp;C45&amp;"
Test environment
HU version : "&amp;$H$3&amp;"
Navi version : "&amp;$H$4&amp;"
Map version : "&amp;$H$5&amp;"
Preconditions
"&amp;G45&amp;"
Error Path/Action
"&amp;H45&amp;"
Misbehavior/Reaction
"&amp;I45&amp;"
Expected Behavior
"&amp;J45&amp;"
Error Recovery
"&amp;K45&amp;"
Occurrence Count
"&amp;M45&amp;"
 Issue of specific location
"&amp;N45&amp;"
Log path
"&amp;D45&amp;"
"&amp;$E$7&amp;"
Remark
"&amp;E45</f>
        <v/>
      </c>
      <c r="C45" s="19">
        <f>TEXT(MID(D45, FIND(".", D45)-6, 6)*1, "00"":""00"":""00")</f>
        <v/>
      </c>
      <c r="D45" s="4" t="n"/>
      <c r="E45" s="4" t="n"/>
      <c r="F45" s="4" t="n"/>
      <c r="G45" s="4" t="n"/>
      <c r="H45" s="4" t="n"/>
      <c r="I45" s="4" t="n"/>
      <c r="J45" s="4" t="n"/>
      <c r="K45" s="4" t="inlineStr">
        <is>
          <t>None</t>
        </is>
      </c>
      <c r="L45" s="6" t="inlineStr">
        <is>
          <t>A - 1 / Critical</t>
        </is>
      </c>
      <c r="M45" s="4" t="inlineStr">
        <is>
          <t>Once</t>
        </is>
      </c>
      <c r="N45" s="4" t="inlineStr">
        <is>
          <t>no</t>
        </is>
      </c>
      <c r="O45" s="5" t="inlineStr">
        <is>
          <t>Other</t>
        </is>
      </c>
      <c r="P45" s="5" t="inlineStr">
        <is>
          <t>MapViewer</t>
        </is>
      </c>
      <c r="Q45" s="4" t="inlineStr">
        <is>
          <t>no</t>
        </is>
      </c>
    </row>
    <row r="46" ht="32.5" customHeight="1" s="11">
      <c r="A46" s="4" t="n"/>
      <c r="B46" s="4">
        <f>"Detected on Time &amp; Date
"&amp;TEXT($E$3,"yyyy-mm-dd")&amp;" "&amp;C46&amp;"
Test environment
HU version : "&amp;$H$3&amp;"
Navi version : "&amp;$H$4&amp;"
Map version : "&amp;$H$5&amp;"
Preconditions
"&amp;G46&amp;"
Error Path/Action
"&amp;H46&amp;"
Misbehavior/Reaction
"&amp;I46&amp;"
Expected Behavior
"&amp;J46&amp;"
Error Recovery
"&amp;K46&amp;"
Occurrence Count
"&amp;M46&amp;"
 Issue of specific location
"&amp;N46&amp;"
Log path
"&amp;D46&amp;"
"&amp;$E$7&amp;"
Remark
"&amp;E46</f>
        <v/>
      </c>
      <c r="C46" s="19">
        <f>TEXT(MID(D46, FIND(".", D46)-6, 6)*1, "00"":""00"":""00")</f>
        <v/>
      </c>
      <c r="D46" s="4" t="n"/>
      <c r="E46" s="4" t="n"/>
      <c r="F46" s="4" t="n"/>
      <c r="G46" s="4" t="n"/>
      <c r="H46" s="4" t="n"/>
      <c r="I46" s="4" t="n"/>
      <c r="J46" s="4" t="n"/>
      <c r="K46" s="4" t="inlineStr">
        <is>
          <t>None</t>
        </is>
      </c>
      <c r="L46" s="6" t="inlineStr">
        <is>
          <t>A - 1 / Critical</t>
        </is>
      </c>
      <c r="M46" s="4" t="inlineStr">
        <is>
          <t>Once</t>
        </is>
      </c>
      <c r="N46" s="4" t="inlineStr">
        <is>
          <t>no</t>
        </is>
      </c>
      <c r="O46" s="5" t="inlineStr">
        <is>
          <t>Other</t>
        </is>
      </c>
      <c r="P46" s="5" t="inlineStr">
        <is>
          <t>MapViewer</t>
        </is>
      </c>
      <c r="Q46" s="4" t="inlineStr">
        <is>
          <t>no</t>
        </is>
      </c>
    </row>
    <row r="47" ht="32.5" customHeight="1" s="11">
      <c r="A47" s="4" t="n"/>
      <c r="B47" s="4">
        <f>"Detected on Time &amp; Date
"&amp;TEXT($E$3,"yyyy-mm-dd")&amp;" "&amp;C47&amp;"
Test environment
HU version : "&amp;$H$3&amp;"
Navi version : "&amp;$H$4&amp;"
Map version : "&amp;$H$5&amp;"
Preconditions
"&amp;G47&amp;"
Error Path/Action
"&amp;H47&amp;"
Misbehavior/Reaction
"&amp;I47&amp;"
Expected Behavior
"&amp;J47&amp;"
Error Recovery
"&amp;K47&amp;"
Occurrence Count
"&amp;M47&amp;"
 Issue of specific location
"&amp;N47&amp;"
Log path
"&amp;D47&amp;"
"&amp;$E$7&amp;"
Remark
"&amp;E47</f>
        <v/>
      </c>
      <c r="C47" s="19">
        <f>TEXT(MID(D47, FIND(".", D47)-6, 6)*1, "00"":""00"":""00")</f>
        <v/>
      </c>
      <c r="D47" s="4" t="n"/>
      <c r="E47" s="4" t="n"/>
      <c r="F47" s="4" t="n"/>
      <c r="G47" s="4" t="n"/>
      <c r="H47" s="4" t="n"/>
      <c r="I47" s="4" t="n"/>
      <c r="J47" s="4" t="n"/>
      <c r="K47" s="4" t="inlineStr">
        <is>
          <t>None</t>
        </is>
      </c>
      <c r="L47" s="6" t="inlineStr">
        <is>
          <t>A - 1 / Critical</t>
        </is>
      </c>
      <c r="M47" s="4" t="inlineStr">
        <is>
          <t>Once</t>
        </is>
      </c>
      <c r="N47" s="4" t="inlineStr">
        <is>
          <t>no</t>
        </is>
      </c>
      <c r="O47" s="5" t="inlineStr">
        <is>
          <t>Other</t>
        </is>
      </c>
      <c r="P47" s="5" t="inlineStr">
        <is>
          <t>MapViewer</t>
        </is>
      </c>
      <c r="Q47" s="4" t="inlineStr">
        <is>
          <t>no</t>
        </is>
      </c>
    </row>
    <row r="48" ht="32.5" customHeight="1" s="11">
      <c r="A48" s="4" t="n"/>
      <c r="B48" s="4">
        <f>"Detected on Time &amp; Date
"&amp;TEXT($E$3,"yyyy-mm-dd")&amp;" "&amp;C48&amp;"
Test environment
HU version : "&amp;$H$3&amp;"
Navi version : "&amp;$H$4&amp;"
Map version : "&amp;$H$5&amp;"
Preconditions
"&amp;G48&amp;"
Error Path/Action
"&amp;H48&amp;"
Misbehavior/Reaction
"&amp;I48&amp;"
Expected Behavior
"&amp;J48&amp;"
Error Recovery
"&amp;K48&amp;"
Occurrence Count
"&amp;M48&amp;"
 Issue of specific location
"&amp;N48&amp;"
Log path
"&amp;D48&amp;"
"&amp;$E$7&amp;"
Remark
"&amp;E48</f>
        <v/>
      </c>
      <c r="C48" s="19">
        <f>TEXT(MID(D48, FIND(".", D48)-6, 6)*1, "00"":""00"":""00")</f>
        <v/>
      </c>
      <c r="D48" s="4" t="n"/>
      <c r="E48" s="4" t="n"/>
      <c r="F48" s="4" t="n"/>
      <c r="G48" s="4" t="n"/>
      <c r="H48" s="4" t="n"/>
      <c r="I48" s="4" t="n"/>
      <c r="J48" s="4" t="n"/>
      <c r="K48" s="4" t="inlineStr">
        <is>
          <t>None</t>
        </is>
      </c>
      <c r="L48" s="6" t="inlineStr">
        <is>
          <t>A - 1 / Critical</t>
        </is>
      </c>
      <c r="M48" s="4" t="inlineStr">
        <is>
          <t>Once</t>
        </is>
      </c>
      <c r="N48" s="4" t="inlineStr">
        <is>
          <t>no</t>
        </is>
      </c>
      <c r="O48" s="5" t="inlineStr">
        <is>
          <t>Other</t>
        </is>
      </c>
      <c r="P48" s="5" t="inlineStr">
        <is>
          <t>MapViewer</t>
        </is>
      </c>
      <c r="Q48" s="4" t="inlineStr">
        <is>
          <t>no</t>
        </is>
      </c>
    </row>
    <row r="49" ht="32.5" customHeight="1" s="11">
      <c r="A49" s="4" t="n"/>
      <c r="B49" s="4">
        <f>"Detected on Time &amp; Date
"&amp;TEXT($E$3,"yyyy-mm-dd")&amp;" "&amp;C49&amp;"
Test environment
HU version : "&amp;$H$3&amp;"
Navi version : "&amp;$H$4&amp;"
Map version : "&amp;$H$5&amp;"
Preconditions
"&amp;G49&amp;"
Error Path/Action
"&amp;H49&amp;"
Misbehavior/Reaction
"&amp;I49&amp;"
Expected Behavior
"&amp;J49&amp;"
Error Recovery
"&amp;K49&amp;"
Occurrence Count
"&amp;M49&amp;"
 Issue of specific location
"&amp;N49&amp;"
Log path
"&amp;D49&amp;"
"&amp;$E$7&amp;"
Remark
"&amp;E49</f>
        <v/>
      </c>
      <c r="C49" s="19">
        <f>TEXT(MID(D49, FIND(".", D49)-6, 6)*1, "00"":""00"":""00")</f>
        <v/>
      </c>
      <c r="D49" s="4" t="n"/>
      <c r="E49" s="4" t="n"/>
      <c r="F49" s="4" t="n"/>
      <c r="G49" s="4" t="n"/>
      <c r="H49" s="4" t="n"/>
      <c r="I49" s="4" t="n"/>
      <c r="J49" s="4" t="n"/>
      <c r="K49" s="4" t="inlineStr">
        <is>
          <t>None</t>
        </is>
      </c>
      <c r="L49" s="6" t="inlineStr">
        <is>
          <t>A - 1 / Critical</t>
        </is>
      </c>
      <c r="M49" s="4" t="inlineStr">
        <is>
          <t>Once</t>
        </is>
      </c>
      <c r="N49" s="4" t="inlineStr">
        <is>
          <t>no</t>
        </is>
      </c>
      <c r="O49" s="5" t="inlineStr">
        <is>
          <t>Other</t>
        </is>
      </c>
      <c r="P49" s="5" t="inlineStr">
        <is>
          <t>MapViewer</t>
        </is>
      </c>
      <c r="Q49" s="4" t="inlineStr">
        <is>
          <t>no</t>
        </is>
      </c>
    </row>
    <row r="50" ht="32.5" customHeight="1" s="11">
      <c r="A50" s="4" t="n"/>
      <c r="B50" s="4">
        <f>"Detected on Time &amp; Date
"&amp;TEXT($E$3,"yyyy-mm-dd")&amp;" "&amp;C50&amp;"
Test environment
HU version : "&amp;$H$3&amp;"
Navi version : "&amp;$H$4&amp;"
Map version : "&amp;$H$5&amp;"
Preconditions
"&amp;G50&amp;"
Error Path/Action
"&amp;H50&amp;"
Misbehavior/Reaction
"&amp;I50&amp;"
Expected Behavior
"&amp;J50&amp;"
Error Recovery
"&amp;K50&amp;"
Occurrence Count
"&amp;M50&amp;"
 Issue of specific location
"&amp;N50&amp;"
Log path
"&amp;D50&amp;"
"&amp;$E$7&amp;"
Remark
"&amp;E50</f>
        <v/>
      </c>
      <c r="C50" s="19">
        <f>TEXT(MID(D50, FIND(".", D50)-6, 6)*1, "00"":""00"":""00")</f>
        <v/>
      </c>
      <c r="D50" s="4" t="n"/>
      <c r="E50" s="4" t="n"/>
      <c r="F50" s="4" t="n"/>
      <c r="G50" s="4" t="n"/>
      <c r="H50" s="4" t="n"/>
      <c r="I50" s="4" t="n"/>
      <c r="J50" s="4" t="n"/>
      <c r="K50" s="4" t="inlineStr">
        <is>
          <t>None</t>
        </is>
      </c>
      <c r="L50" s="6" t="inlineStr">
        <is>
          <t>A - 1 / Critical</t>
        </is>
      </c>
      <c r="M50" s="4" t="inlineStr">
        <is>
          <t>Once</t>
        </is>
      </c>
      <c r="N50" s="4" t="inlineStr">
        <is>
          <t>no</t>
        </is>
      </c>
      <c r="O50" s="5" t="inlineStr">
        <is>
          <t>Other</t>
        </is>
      </c>
      <c r="P50" s="5" t="inlineStr">
        <is>
          <t>MapViewer</t>
        </is>
      </c>
      <c r="Q50" s="4" t="inlineStr">
        <is>
          <t>no</t>
        </is>
      </c>
    </row>
    <row r="51" ht="32.5" customHeight="1" s="11">
      <c r="A51" s="4" t="n"/>
      <c r="B51" s="4">
        <f>"Detected on Time &amp; Date
"&amp;TEXT($E$3,"yyyy-mm-dd")&amp;" "&amp;C51&amp;"
Test environment
HU version : "&amp;$H$3&amp;"
Navi version : "&amp;$H$4&amp;"
Map version : "&amp;$H$5&amp;"
Preconditions
"&amp;G51&amp;"
Error Path/Action
"&amp;H51&amp;"
Misbehavior/Reaction
"&amp;I51&amp;"
Expected Behavior
"&amp;J51&amp;"
Error Recovery
"&amp;K51&amp;"
Occurrence Count
"&amp;M51&amp;"
 Issue of specific location
"&amp;N51&amp;"
Log path
"&amp;D51&amp;"
"&amp;$E$7&amp;"
Remark
"&amp;E51</f>
        <v/>
      </c>
      <c r="C51" s="19">
        <f>TEXT(MID(D51, FIND(".", D51)-6, 6)*1, "00"":""00"":""00")</f>
        <v/>
      </c>
      <c r="D51" s="4" t="n"/>
      <c r="E51" s="4" t="n"/>
      <c r="F51" s="4" t="n"/>
      <c r="G51" s="4" t="n"/>
      <c r="H51" s="4" t="n"/>
      <c r="I51" s="4" t="n"/>
      <c r="J51" s="4" t="n"/>
      <c r="K51" s="4" t="inlineStr">
        <is>
          <t>None</t>
        </is>
      </c>
      <c r="L51" s="6" t="inlineStr">
        <is>
          <t>A - 1 / Critical</t>
        </is>
      </c>
      <c r="M51" s="4" t="inlineStr">
        <is>
          <t>Once</t>
        </is>
      </c>
      <c r="N51" s="4" t="inlineStr">
        <is>
          <t>no</t>
        </is>
      </c>
      <c r="O51" s="5" t="inlineStr">
        <is>
          <t>Other</t>
        </is>
      </c>
      <c r="P51" s="5" t="inlineStr">
        <is>
          <t>MapViewer</t>
        </is>
      </c>
      <c r="Q51" s="4" t="inlineStr">
        <is>
          <t>no</t>
        </is>
      </c>
    </row>
    <row r="52" ht="32.5" customHeight="1" s="11">
      <c r="A52" s="4" t="n"/>
      <c r="B52" s="4">
        <f>"Detected on Time &amp; Date
"&amp;TEXT($E$3,"yyyy-mm-dd")&amp;" "&amp;C52&amp;"
Test environment
HU version : "&amp;$H$3&amp;"
Navi version : "&amp;$H$4&amp;"
Map version : "&amp;$H$5&amp;"
Preconditions
"&amp;G52&amp;"
Error Path/Action
"&amp;H52&amp;"
Misbehavior/Reaction
"&amp;I52&amp;"
Expected Behavior
"&amp;J52&amp;"
Error Recovery
"&amp;K52&amp;"
Occurrence Count
"&amp;M52&amp;"
 Issue of specific location
"&amp;N52&amp;"
Log path
"&amp;D52&amp;"
"&amp;$E$7&amp;"
Remark
"&amp;E52</f>
        <v/>
      </c>
      <c r="C52" s="19">
        <f>TEXT(MID(D52, FIND(".", D52)-6, 6)*1, "00"":""00"":""00")</f>
        <v/>
      </c>
      <c r="D52" s="4" t="n"/>
      <c r="E52" s="4" t="n"/>
      <c r="F52" s="4" t="n"/>
      <c r="G52" s="4" t="n"/>
      <c r="H52" s="4" t="n"/>
      <c r="I52" s="4" t="n"/>
      <c r="J52" s="4" t="n"/>
      <c r="K52" s="4" t="inlineStr">
        <is>
          <t>None</t>
        </is>
      </c>
      <c r="L52" s="6" t="inlineStr">
        <is>
          <t>A - 1 / Critical</t>
        </is>
      </c>
      <c r="M52" s="4" t="inlineStr">
        <is>
          <t>Once</t>
        </is>
      </c>
      <c r="N52" s="4" t="inlineStr">
        <is>
          <t>no</t>
        </is>
      </c>
      <c r="O52" s="5" t="inlineStr">
        <is>
          <t>Other</t>
        </is>
      </c>
      <c r="P52" s="5" t="inlineStr">
        <is>
          <t>MapViewer</t>
        </is>
      </c>
      <c r="Q52" s="4" t="inlineStr">
        <is>
          <t>no</t>
        </is>
      </c>
    </row>
    <row r="53" ht="32.5" customHeight="1" s="11">
      <c r="A53" s="4" t="n"/>
      <c r="B53" s="4">
        <f>"Detected on Time &amp; Date
"&amp;TEXT($E$3,"yyyy-mm-dd")&amp;" "&amp;C53&amp;"
Test environment
HU version : "&amp;$H$3&amp;"
Navi version : "&amp;$H$4&amp;"
Map version : "&amp;$H$5&amp;"
Preconditions
"&amp;G53&amp;"
Error Path/Action
"&amp;H53&amp;"
Misbehavior/Reaction
"&amp;I53&amp;"
Expected Behavior
"&amp;J53&amp;"
Error Recovery
"&amp;K53&amp;"
Occurrence Count
"&amp;M53&amp;"
 Issue of specific location
"&amp;N53&amp;"
Log path
"&amp;D53&amp;"
"&amp;$E$7&amp;"
Remark
"&amp;E53</f>
        <v/>
      </c>
      <c r="C53" s="19">
        <f>TEXT(MID(D53, FIND(".", D53)-6, 6)*1, "00"":""00"":""00")</f>
        <v/>
      </c>
      <c r="D53" s="4" t="n"/>
      <c r="E53" s="4" t="n"/>
      <c r="F53" s="4" t="n"/>
      <c r="G53" s="4" t="n"/>
      <c r="H53" s="4" t="n"/>
      <c r="I53" s="4" t="n"/>
      <c r="J53" s="4" t="n"/>
      <c r="K53" s="4" t="inlineStr">
        <is>
          <t>None</t>
        </is>
      </c>
      <c r="L53" s="6" t="inlineStr">
        <is>
          <t>A - 1 / Critical</t>
        </is>
      </c>
      <c r="M53" s="4" t="inlineStr">
        <is>
          <t>Once</t>
        </is>
      </c>
      <c r="N53" s="4" t="inlineStr">
        <is>
          <t>no</t>
        </is>
      </c>
      <c r="O53" s="5" t="inlineStr">
        <is>
          <t>Other</t>
        </is>
      </c>
      <c r="P53" s="5" t="inlineStr">
        <is>
          <t>MapViewer</t>
        </is>
      </c>
      <c r="Q53" s="4" t="inlineStr">
        <is>
          <t>no</t>
        </is>
      </c>
    </row>
    <row r="54" ht="32.5" customHeight="1" s="11">
      <c r="A54" s="4" t="n"/>
      <c r="B54" s="4">
        <f>"Detected on Time &amp; Date
"&amp;TEXT($E$3,"yyyy-mm-dd")&amp;" "&amp;C54&amp;"
Test environment
HU version : "&amp;$H$3&amp;"
Navi version : "&amp;$H$4&amp;"
Map version : "&amp;$H$5&amp;"
Preconditions
"&amp;G54&amp;"
Error Path/Action
"&amp;H54&amp;"
Misbehavior/Reaction
"&amp;I54&amp;"
Expected Behavior
"&amp;J54&amp;"
Error Recovery
"&amp;K54&amp;"
Occurrence Count
"&amp;M54&amp;"
 Issue of specific location
"&amp;N54&amp;"
Log path
"&amp;D54&amp;"
"&amp;$E$7&amp;"
Remark
"&amp;E54</f>
        <v/>
      </c>
      <c r="C54" s="19">
        <f>TEXT(MID(D54, FIND(".", D54)-6, 6)*1, "00"":""00"":""00")</f>
        <v/>
      </c>
      <c r="D54" s="4" t="n"/>
      <c r="E54" s="4" t="n"/>
      <c r="F54" s="4" t="n"/>
      <c r="G54" s="4" t="n"/>
      <c r="H54" s="4" t="n"/>
      <c r="I54" s="4" t="n"/>
      <c r="J54" s="4" t="n"/>
      <c r="K54" s="4" t="inlineStr">
        <is>
          <t>None</t>
        </is>
      </c>
      <c r="L54" s="6" t="inlineStr">
        <is>
          <t>A - 1 / Critical</t>
        </is>
      </c>
      <c r="M54" s="4" t="inlineStr">
        <is>
          <t>Once</t>
        </is>
      </c>
      <c r="N54" s="4" t="inlineStr">
        <is>
          <t>no</t>
        </is>
      </c>
      <c r="O54" s="5" t="inlineStr">
        <is>
          <t>Other</t>
        </is>
      </c>
      <c r="P54" s="5" t="inlineStr">
        <is>
          <t>MapViewer</t>
        </is>
      </c>
      <c r="Q54" s="4" t="inlineStr">
        <is>
          <t>no</t>
        </is>
      </c>
    </row>
    <row r="55" ht="32.5" customHeight="1" s="11">
      <c r="A55" s="4" t="n"/>
      <c r="B55" s="4">
        <f>"Detected on Time &amp; Date
"&amp;TEXT($E$3,"yyyy-mm-dd")&amp;" "&amp;C55&amp;"
Test environment
HU version : "&amp;$H$3&amp;"
Navi version : "&amp;$H$4&amp;"
Map version : "&amp;$H$5&amp;"
Preconditions
"&amp;G55&amp;"
Error Path/Action
"&amp;H55&amp;"
Misbehavior/Reaction
"&amp;I55&amp;"
Expected Behavior
"&amp;J55&amp;"
Error Recovery
"&amp;K55&amp;"
Occurrence Count
"&amp;M55&amp;"
 Issue of specific location
"&amp;N55&amp;"
Log path
"&amp;D55&amp;"
"&amp;$E$7&amp;"
Remark
"&amp;E55</f>
        <v/>
      </c>
      <c r="C55" s="19">
        <f>TEXT(MID(D55, FIND(".", D55)-6, 6)*1, "00"":""00"":""00")</f>
        <v/>
      </c>
      <c r="D55" s="4" t="n"/>
      <c r="E55" s="4" t="n"/>
      <c r="F55" s="4" t="n"/>
      <c r="G55" s="4" t="n"/>
      <c r="H55" s="4" t="n"/>
      <c r="I55" s="4" t="n"/>
      <c r="J55" s="4" t="n"/>
      <c r="K55" s="4" t="inlineStr">
        <is>
          <t>None</t>
        </is>
      </c>
      <c r="L55" s="6" t="inlineStr">
        <is>
          <t>A - 1 / Critical</t>
        </is>
      </c>
      <c r="M55" s="4" t="inlineStr">
        <is>
          <t>Once</t>
        </is>
      </c>
      <c r="N55" s="4" t="inlineStr">
        <is>
          <t>no</t>
        </is>
      </c>
      <c r="O55" s="5" t="inlineStr">
        <is>
          <t>Other</t>
        </is>
      </c>
      <c r="P55" s="5" t="inlineStr">
        <is>
          <t>MapViewer</t>
        </is>
      </c>
      <c r="Q55" s="4" t="inlineStr">
        <is>
          <t>no</t>
        </is>
      </c>
    </row>
    <row r="56" ht="32.5" customHeight="1" s="11">
      <c r="A56" s="4" t="n"/>
      <c r="B56" s="4">
        <f>"Detected on Time &amp; Date
"&amp;TEXT($E$3,"yyyy-mm-dd")&amp;" "&amp;C56&amp;"
Test environment
HU version : "&amp;$H$3&amp;"
Navi version : "&amp;$H$4&amp;"
Map version : "&amp;$H$5&amp;"
Preconditions
"&amp;G56&amp;"
Error Path/Action
"&amp;H56&amp;"
Misbehavior/Reaction
"&amp;I56&amp;"
Expected Behavior
"&amp;J56&amp;"
Error Recovery
"&amp;K56&amp;"
Occurrence Count
"&amp;M56&amp;"
 Issue of specific location
"&amp;N56&amp;"
Log path
"&amp;D56&amp;"
"&amp;$E$7&amp;"
Remark
"&amp;E56</f>
        <v/>
      </c>
      <c r="C56" s="19">
        <f>TEXT(MID(D56, FIND(".", D56)-6, 6)*1, "00"":""00"":""00")</f>
        <v/>
      </c>
      <c r="D56" s="4" t="n"/>
      <c r="E56" s="4" t="n"/>
      <c r="F56" s="4" t="n"/>
      <c r="G56" s="4" t="n"/>
      <c r="H56" s="4" t="n"/>
      <c r="I56" s="4" t="n"/>
      <c r="J56" s="4" t="n"/>
      <c r="K56" s="4" t="inlineStr">
        <is>
          <t>None</t>
        </is>
      </c>
      <c r="L56" s="6" t="inlineStr">
        <is>
          <t>A - 1 / Critical</t>
        </is>
      </c>
      <c r="M56" s="4" t="inlineStr">
        <is>
          <t>Once</t>
        </is>
      </c>
      <c r="N56" s="4" t="inlineStr">
        <is>
          <t>no</t>
        </is>
      </c>
      <c r="O56" s="5" t="inlineStr">
        <is>
          <t>Other</t>
        </is>
      </c>
      <c r="P56" s="5" t="inlineStr">
        <is>
          <t>MapViewer</t>
        </is>
      </c>
      <c r="Q56" s="4" t="inlineStr">
        <is>
          <t>no</t>
        </is>
      </c>
    </row>
    <row r="57" ht="32.5" customHeight="1" s="11">
      <c r="A57" s="4" t="n"/>
      <c r="B57" s="4">
        <f>"Detected on Time &amp; Date
"&amp;TEXT($E$3,"yyyy-mm-dd")&amp;" "&amp;C57&amp;"
Test environment
HU version : "&amp;$H$3&amp;"
Navi version : "&amp;$H$4&amp;"
Map version : "&amp;$H$5&amp;"
Preconditions
"&amp;G57&amp;"
Error Path/Action
"&amp;H57&amp;"
Misbehavior/Reaction
"&amp;I57&amp;"
Expected Behavior
"&amp;J57&amp;"
Error Recovery
"&amp;K57&amp;"
Occurrence Count
"&amp;M57&amp;"
 Issue of specific location
"&amp;N57&amp;"
Log path
"&amp;D57&amp;"
"&amp;$E$7&amp;"
Remark
"&amp;E57</f>
        <v/>
      </c>
      <c r="C57" s="19">
        <f>TEXT(MID(D57, FIND(".", D57)-6, 6)*1, "00"":""00"":""00")</f>
        <v/>
      </c>
      <c r="D57" s="4" t="n"/>
      <c r="E57" s="4" t="n"/>
      <c r="F57" s="4" t="n"/>
      <c r="G57" s="4" t="n"/>
      <c r="H57" s="4" t="n"/>
      <c r="I57" s="4" t="n"/>
      <c r="J57" s="4" t="n"/>
      <c r="K57" s="4" t="inlineStr">
        <is>
          <t>None</t>
        </is>
      </c>
      <c r="L57" s="6" t="inlineStr">
        <is>
          <t>A - 1 / Critical</t>
        </is>
      </c>
      <c r="M57" s="4" t="inlineStr">
        <is>
          <t>Once</t>
        </is>
      </c>
      <c r="N57" s="4" t="inlineStr">
        <is>
          <t>no</t>
        </is>
      </c>
      <c r="O57" s="5" t="inlineStr">
        <is>
          <t>Other</t>
        </is>
      </c>
      <c r="P57" s="5" t="inlineStr">
        <is>
          <t>MapViewer</t>
        </is>
      </c>
      <c r="Q57" s="4" t="inlineStr">
        <is>
          <t>no</t>
        </is>
      </c>
    </row>
    <row r="58" ht="32.5" customHeight="1" s="11">
      <c r="A58" s="4" t="n"/>
      <c r="B58" s="4">
        <f>"Detected on Time &amp; Date
"&amp;TEXT($E$3,"yyyy-mm-dd")&amp;" "&amp;C58&amp;"
Test environment
HU version : "&amp;$H$3&amp;"
Navi version : "&amp;$H$4&amp;"
Map version : "&amp;$H$5&amp;"
Preconditions
"&amp;G58&amp;"
Error Path/Action
"&amp;H58&amp;"
Misbehavior/Reaction
"&amp;I58&amp;"
Expected Behavior
"&amp;J58&amp;"
Error Recovery
"&amp;K58&amp;"
Occurrence Count
"&amp;M58&amp;"
 Issue of specific location
"&amp;N58&amp;"
Log path
"&amp;D58&amp;"
"&amp;$E$7&amp;"
Remark
"&amp;E58</f>
        <v/>
      </c>
      <c r="C58" s="19">
        <f>TEXT(MID(D58, FIND(".", D58)-6, 6)*1, "00"":""00"":""00")</f>
        <v/>
      </c>
      <c r="D58" s="4" t="n"/>
      <c r="E58" s="4" t="n"/>
      <c r="F58" s="4" t="n"/>
      <c r="G58" s="4" t="n"/>
      <c r="H58" s="4" t="n"/>
      <c r="I58" s="4" t="n"/>
      <c r="J58" s="4" t="n"/>
      <c r="K58" s="4" t="inlineStr">
        <is>
          <t>None</t>
        </is>
      </c>
      <c r="L58" s="6" t="inlineStr">
        <is>
          <t>A - 1 / Critical</t>
        </is>
      </c>
      <c r="M58" s="4" t="inlineStr">
        <is>
          <t>Once</t>
        </is>
      </c>
      <c r="N58" s="4" t="inlineStr">
        <is>
          <t>no</t>
        </is>
      </c>
      <c r="O58" s="5" t="inlineStr">
        <is>
          <t>Other</t>
        </is>
      </c>
      <c r="P58" s="5" t="inlineStr">
        <is>
          <t>MapViewer</t>
        </is>
      </c>
      <c r="Q58" s="4" t="inlineStr">
        <is>
          <t>no</t>
        </is>
      </c>
    </row>
    <row r="59" ht="32.5" customHeight="1" s="11">
      <c r="A59" s="4" t="n"/>
      <c r="B59" s="4">
        <f>"Detected on Time &amp; Date
"&amp;TEXT($E$3,"yyyy-mm-dd")&amp;" "&amp;C59&amp;"
Test environment
HU version : "&amp;$H$3&amp;"
Navi version : "&amp;$H$4&amp;"
Map version : "&amp;$H$5&amp;"
Preconditions
"&amp;G59&amp;"
Error Path/Action
"&amp;H59&amp;"
Misbehavior/Reaction
"&amp;I59&amp;"
Expected Behavior
"&amp;J59&amp;"
Error Recovery
"&amp;K59&amp;"
Occurrence Count
"&amp;M59&amp;"
 Issue of specific location
"&amp;N59&amp;"
Log path
"&amp;D59&amp;"
"&amp;$E$7&amp;"
Remark
"&amp;E59</f>
        <v/>
      </c>
      <c r="C59" s="19">
        <f>TEXT(MID(D59, FIND(".", D59)-6, 6)*1, "00"":""00"":""00")</f>
        <v/>
      </c>
      <c r="D59" s="4" t="n"/>
      <c r="E59" s="4" t="n"/>
      <c r="F59" s="4" t="n"/>
      <c r="G59" s="4" t="n"/>
      <c r="H59" s="4" t="n"/>
      <c r="I59" s="4" t="n"/>
      <c r="J59" s="4" t="n"/>
      <c r="K59" s="4" t="inlineStr">
        <is>
          <t>None</t>
        </is>
      </c>
      <c r="L59" s="6" t="inlineStr">
        <is>
          <t>A - 1 / Critical</t>
        </is>
      </c>
      <c r="M59" s="4" t="inlineStr">
        <is>
          <t>Once</t>
        </is>
      </c>
      <c r="N59" s="4" t="inlineStr">
        <is>
          <t>no</t>
        </is>
      </c>
      <c r="O59" s="5" t="inlineStr">
        <is>
          <t>Other</t>
        </is>
      </c>
      <c r="P59" s="5" t="inlineStr">
        <is>
          <t>MapViewer</t>
        </is>
      </c>
      <c r="Q59" s="4" t="inlineStr">
        <is>
          <t>no</t>
        </is>
      </c>
    </row>
    <row r="60" ht="32.5" customHeight="1" s="11">
      <c r="A60" s="4" t="n"/>
      <c r="B60" s="4">
        <f>"Detected on Time &amp; Date
"&amp;TEXT($E$3,"yyyy-mm-dd")&amp;" "&amp;C60&amp;"
Test environment
HU version : "&amp;$H$3&amp;"
Navi version : "&amp;$H$4&amp;"
Map version : "&amp;$H$5&amp;"
Preconditions
"&amp;G60&amp;"
Error Path/Action
"&amp;H60&amp;"
Misbehavior/Reaction
"&amp;I60&amp;"
Expected Behavior
"&amp;J60&amp;"
Error Recovery
"&amp;K60&amp;"
Occurrence Count
"&amp;M60&amp;"
 Issue of specific location
"&amp;N60&amp;"
Log path
"&amp;D60&amp;"
"&amp;$E$7&amp;"
Remark
"&amp;E60</f>
        <v/>
      </c>
      <c r="C60" s="19">
        <f>TEXT(MID(D60, FIND(".", D60)-6, 6)*1, "00"":""00"":""00")</f>
        <v/>
      </c>
      <c r="D60" s="4" t="n"/>
      <c r="E60" s="4" t="n"/>
      <c r="F60" s="4" t="n"/>
      <c r="G60" s="4" t="n"/>
      <c r="H60" s="4" t="n"/>
      <c r="I60" s="4" t="n"/>
      <c r="J60" s="4" t="n"/>
      <c r="K60" s="4" t="inlineStr">
        <is>
          <t>None</t>
        </is>
      </c>
      <c r="L60" s="6" t="inlineStr">
        <is>
          <t>A - 1 / Critical</t>
        </is>
      </c>
      <c r="M60" s="4" t="inlineStr">
        <is>
          <t>Once</t>
        </is>
      </c>
      <c r="N60" s="4" t="inlineStr">
        <is>
          <t>no</t>
        </is>
      </c>
      <c r="O60" s="5" t="inlineStr">
        <is>
          <t>Other</t>
        </is>
      </c>
      <c r="P60" s="5" t="inlineStr">
        <is>
          <t>MapViewer</t>
        </is>
      </c>
      <c r="Q60" s="4" t="inlineStr">
        <is>
          <t>no</t>
        </is>
      </c>
    </row>
    <row r="61" ht="32.5" customHeight="1" s="11">
      <c r="A61" s="4" t="n"/>
      <c r="B61" s="4">
        <f>"Detected on Time &amp; Date
"&amp;TEXT($E$3,"yyyy-mm-dd")&amp;" "&amp;C61&amp;"
Test environment
HU version : "&amp;$H$3&amp;"
Navi version : "&amp;$H$4&amp;"
Map version : "&amp;$H$5&amp;"
Preconditions
"&amp;G61&amp;"
Error Path/Action
"&amp;H61&amp;"
Misbehavior/Reaction
"&amp;I61&amp;"
Expected Behavior
"&amp;J61&amp;"
Error Recovery
"&amp;K61&amp;"
Occurrence Count
"&amp;M61&amp;"
 Issue of specific location
"&amp;N61&amp;"
Log path
"&amp;D61&amp;"
"&amp;$E$7&amp;"
Remark
"&amp;E61</f>
        <v/>
      </c>
      <c r="C61" s="19">
        <f>TEXT(MID(D61, FIND(".", D61)-6, 6)*1, "00"":""00"":""00")</f>
        <v/>
      </c>
      <c r="D61" s="4" t="n"/>
      <c r="E61" s="4" t="n"/>
      <c r="F61" s="4" t="n"/>
      <c r="G61" s="4" t="n"/>
      <c r="H61" s="4" t="n"/>
      <c r="I61" s="4" t="n"/>
      <c r="J61" s="4" t="n"/>
      <c r="K61" s="4" t="inlineStr">
        <is>
          <t>None</t>
        </is>
      </c>
      <c r="L61" s="6" t="inlineStr">
        <is>
          <t>A - 1 / Critical</t>
        </is>
      </c>
      <c r="M61" s="4" t="inlineStr">
        <is>
          <t>Once</t>
        </is>
      </c>
      <c r="N61" s="4" t="inlineStr">
        <is>
          <t>no</t>
        </is>
      </c>
      <c r="O61" s="5" t="inlineStr">
        <is>
          <t>Other</t>
        </is>
      </c>
      <c r="P61" s="5" t="inlineStr">
        <is>
          <t>MapViewer</t>
        </is>
      </c>
      <c r="Q61" s="4" t="inlineStr">
        <is>
          <t>no</t>
        </is>
      </c>
    </row>
    <row r="62" ht="32.5" customHeight="1" s="11">
      <c r="A62" s="4" t="n"/>
      <c r="B62" s="4">
        <f>"Detected on Time &amp; Date
"&amp;TEXT($E$3,"yyyy-mm-dd")&amp;" "&amp;C62&amp;"
Test environment
HU version : "&amp;$H$3&amp;"
Navi version : "&amp;$H$4&amp;"
Map version : "&amp;$H$5&amp;"
Preconditions
"&amp;G62&amp;"
Error Path/Action
"&amp;H62&amp;"
Misbehavior/Reaction
"&amp;I62&amp;"
Expected Behavior
"&amp;J62&amp;"
Error Recovery
"&amp;K62&amp;"
Occurrence Count
"&amp;M62&amp;"
 Issue of specific location
"&amp;N62&amp;"
Log path
"&amp;D62&amp;"
"&amp;$E$7&amp;"
Remark
"&amp;E62</f>
        <v/>
      </c>
      <c r="C62" s="19">
        <f>TEXT(MID(D62, FIND(".", D62)-6, 6)*1, "00"":""00"":""00")</f>
        <v/>
      </c>
      <c r="D62" s="4" t="n"/>
      <c r="E62" s="4" t="n"/>
      <c r="F62" s="4" t="n"/>
      <c r="G62" s="4" t="n"/>
      <c r="H62" s="4" t="n"/>
      <c r="I62" s="4" t="n"/>
      <c r="J62" s="4" t="n"/>
      <c r="K62" s="4" t="inlineStr">
        <is>
          <t>None</t>
        </is>
      </c>
      <c r="L62" s="6" t="inlineStr">
        <is>
          <t>A - 1 / Critical</t>
        </is>
      </c>
      <c r="M62" s="4" t="inlineStr">
        <is>
          <t>Once</t>
        </is>
      </c>
      <c r="N62" s="4" t="inlineStr">
        <is>
          <t>no</t>
        </is>
      </c>
      <c r="O62" s="5" t="inlineStr">
        <is>
          <t>Other</t>
        </is>
      </c>
      <c r="P62" s="5" t="inlineStr">
        <is>
          <t>MapViewer</t>
        </is>
      </c>
      <c r="Q62" s="4" t="inlineStr">
        <is>
          <t>no</t>
        </is>
      </c>
    </row>
    <row r="63" ht="32.5" customHeight="1" s="11">
      <c r="A63" s="4" t="n"/>
      <c r="B63" s="4">
        <f>"Detected on Time &amp; Date
"&amp;TEXT($E$3,"yyyy-mm-dd")&amp;" "&amp;C63&amp;"
Test environment
HU version : "&amp;$H$3&amp;"
Navi version : "&amp;$H$4&amp;"
Map version : "&amp;$H$5&amp;"
Preconditions
"&amp;G63&amp;"
Error Path/Action
"&amp;H63&amp;"
Misbehavior/Reaction
"&amp;I63&amp;"
Expected Behavior
"&amp;J63&amp;"
Error Recovery
"&amp;K63&amp;"
Occurrence Count
"&amp;M63&amp;"
 Issue of specific location
"&amp;N63&amp;"
Log path
"&amp;D63&amp;"
"&amp;$E$7&amp;"
Remark
"&amp;E63</f>
        <v/>
      </c>
      <c r="C63" s="19">
        <f>TEXT(MID(D63, FIND(".", D63)-6, 6)*1, "00"":""00"":""00")</f>
        <v/>
      </c>
      <c r="D63" s="4" t="n"/>
      <c r="E63" s="4" t="n"/>
      <c r="F63" s="4" t="n"/>
      <c r="G63" s="4" t="n"/>
      <c r="H63" s="4" t="n"/>
      <c r="I63" s="4" t="n"/>
      <c r="J63" s="4" t="n"/>
      <c r="K63" s="4" t="inlineStr">
        <is>
          <t>None</t>
        </is>
      </c>
      <c r="L63" s="6" t="inlineStr">
        <is>
          <t>A - 1 / Critical</t>
        </is>
      </c>
      <c r="M63" s="4" t="inlineStr">
        <is>
          <t>Once</t>
        </is>
      </c>
      <c r="N63" s="4" t="inlineStr">
        <is>
          <t>no</t>
        </is>
      </c>
      <c r="O63" s="5" t="inlineStr">
        <is>
          <t>Other</t>
        </is>
      </c>
      <c r="P63" s="5" t="inlineStr">
        <is>
          <t>MapViewer</t>
        </is>
      </c>
      <c r="Q63" s="4" t="inlineStr">
        <is>
          <t>no</t>
        </is>
      </c>
    </row>
    <row r="64" ht="32.5" customHeight="1" s="11">
      <c r="A64" s="4" t="n"/>
      <c r="B64" s="4">
        <f>"Detected on Time &amp; Date
"&amp;TEXT($E$3,"yyyy-mm-dd")&amp;" "&amp;C64&amp;"
Test environment
HU version : "&amp;$H$3&amp;"
Navi version : "&amp;$H$4&amp;"
Map version : "&amp;$H$5&amp;"
Preconditions
"&amp;G64&amp;"
Error Path/Action
"&amp;H64&amp;"
Misbehavior/Reaction
"&amp;I64&amp;"
Expected Behavior
"&amp;J64&amp;"
Error Recovery
"&amp;K64&amp;"
Occurrence Count
"&amp;M64&amp;"
 Issue of specific location
"&amp;N64&amp;"
Log path
"&amp;D64&amp;"
"&amp;$E$7&amp;"
Remark
"&amp;E64</f>
        <v/>
      </c>
      <c r="C64" s="19">
        <f>TEXT(MID(D64, FIND(".", D64)-6, 6)*1, "00"":""00"":""00")</f>
        <v/>
      </c>
      <c r="D64" s="4" t="n"/>
      <c r="E64" s="4" t="n"/>
      <c r="F64" s="4" t="n"/>
      <c r="G64" s="4" t="n"/>
      <c r="H64" s="4" t="n"/>
      <c r="I64" s="4" t="n"/>
      <c r="J64" s="4" t="n"/>
      <c r="K64" s="4" t="inlineStr">
        <is>
          <t>None</t>
        </is>
      </c>
      <c r="L64" s="6" t="inlineStr">
        <is>
          <t>A - 1 / Critical</t>
        </is>
      </c>
      <c r="M64" s="4" t="inlineStr">
        <is>
          <t>Once</t>
        </is>
      </c>
      <c r="N64" s="4" t="inlineStr">
        <is>
          <t>no</t>
        </is>
      </c>
      <c r="O64" s="5" t="inlineStr">
        <is>
          <t>Other</t>
        </is>
      </c>
      <c r="P64" s="5" t="inlineStr">
        <is>
          <t>MapViewer</t>
        </is>
      </c>
      <c r="Q64" s="4" t="inlineStr">
        <is>
          <t>no</t>
        </is>
      </c>
    </row>
    <row r="65" ht="32.5" customHeight="1" s="11">
      <c r="A65" s="4" t="n"/>
      <c r="B65" s="4">
        <f>"Detected on Time &amp; Date
"&amp;TEXT($E$3,"yyyy-mm-dd")&amp;" "&amp;C65&amp;"
Test environment
HU version : "&amp;$H$3&amp;"
Navi version : "&amp;$H$4&amp;"
Map version : "&amp;$H$5&amp;"
Preconditions
"&amp;G65&amp;"
Error Path/Action
"&amp;H65&amp;"
Misbehavior/Reaction
"&amp;I65&amp;"
Expected Behavior
"&amp;J65&amp;"
Error Recovery
"&amp;K65&amp;"
Occurrence Count
"&amp;M65&amp;"
 Issue of specific location
"&amp;N65&amp;"
Log path
"&amp;D65&amp;"
"&amp;$E$7&amp;"
Remark
"&amp;E65</f>
        <v/>
      </c>
      <c r="C65" s="19">
        <f>TEXT(MID(D65, FIND(".", D65)-6, 6)*1, "00"":""00"":""00")</f>
        <v/>
      </c>
      <c r="D65" s="4" t="n"/>
      <c r="E65" s="4" t="n"/>
      <c r="F65" s="4" t="n"/>
      <c r="G65" s="4" t="n"/>
      <c r="H65" s="4" t="n"/>
      <c r="I65" s="4" t="n"/>
      <c r="J65" s="4" t="n"/>
      <c r="K65" s="4" t="inlineStr">
        <is>
          <t>None</t>
        </is>
      </c>
      <c r="L65" s="6" t="inlineStr">
        <is>
          <t>A - 1 / Critical</t>
        </is>
      </c>
      <c r="M65" s="4" t="inlineStr">
        <is>
          <t>Once</t>
        </is>
      </c>
      <c r="N65" s="4" t="inlineStr">
        <is>
          <t>no</t>
        </is>
      </c>
      <c r="O65" s="5" t="inlineStr">
        <is>
          <t>Other</t>
        </is>
      </c>
      <c r="P65" s="5" t="inlineStr">
        <is>
          <t>MapViewer</t>
        </is>
      </c>
      <c r="Q65" s="4" t="inlineStr">
        <is>
          <t>no</t>
        </is>
      </c>
    </row>
    <row r="66" ht="32.5" customHeight="1" s="11">
      <c r="A66" s="4" t="n"/>
      <c r="B66" s="4">
        <f>"Detected on Time &amp; Date
"&amp;TEXT($E$3,"yyyy-mm-dd")&amp;" "&amp;C66&amp;"
Test environment
HU version : "&amp;$H$3&amp;"
Navi version : "&amp;$H$4&amp;"
Map version : "&amp;$H$5&amp;"
Preconditions
"&amp;G66&amp;"
Error Path/Action
"&amp;H66&amp;"
Misbehavior/Reaction
"&amp;I66&amp;"
Expected Behavior
"&amp;J66&amp;"
Error Recovery
"&amp;K66&amp;"
Occurrence Count
"&amp;M66&amp;"
 Issue of specific location
"&amp;N66&amp;"
Log path
"&amp;D66&amp;"
"&amp;$E$7&amp;"
Remark
"&amp;E66</f>
        <v/>
      </c>
      <c r="C66" s="19">
        <f>TEXT(MID(D66, FIND(".", D66)-6, 6)*1, "00"":""00"":""00")</f>
        <v/>
      </c>
      <c r="D66" s="4" t="n"/>
      <c r="E66" s="4" t="n"/>
      <c r="F66" s="4" t="n"/>
      <c r="G66" s="4" t="n"/>
      <c r="H66" s="4" t="n"/>
      <c r="I66" s="4" t="n"/>
      <c r="J66" s="4" t="n"/>
      <c r="K66" s="4" t="inlineStr">
        <is>
          <t>None</t>
        </is>
      </c>
      <c r="L66" s="6" t="inlineStr">
        <is>
          <t>A - 1 / Critical</t>
        </is>
      </c>
      <c r="M66" s="4" t="inlineStr">
        <is>
          <t>Once</t>
        </is>
      </c>
      <c r="N66" s="4" t="inlineStr">
        <is>
          <t>no</t>
        </is>
      </c>
      <c r="O66" s="5" t="inlineStr">
        <is>
          <t>Other</t>
        </is>
      </c>
      <c r="P66" s="5" t="inlineStr">
        <is>
          <t>MapViewer</t>
        </is>
      </c>
      <c r="Q66" s="4" t="inlineStr">
        <is>
          <t>no</t>
        </is>
      </c>
    </row>
    <row r="67" ht="32.5" customHeight="1" s="11">
      <c r="A67" s="4" t="n"/>
      <c r="B67" s="4">
        <f>"Detected on Time &amp; Date
"&amp;TEXT($E$3,"yyyy-mm-dd")&amp;" "&amp;C67&amp;"
Test environment
HU version : "&amp;$H$3&amp;"
Navi version : "&amp;$H$4&amp;"
Map version : "&amp;$H$5&amp;"
Preconditions
"&amp;G67&amp;"
Error Path/Action
"&amp;H67&amp;"
Misbehavior/Reaction
"&amp;I67&amp;"
Expected Behavior
"&amp;J67&amp;"
Error Recovery
"&amp;K67&amp;"
Occurrence Count
"&amp;M67&amp;"
 Issue of specific location
"&amp;N67&amp;"
Log path
"&amp;D67&amp;"
"&amp;$E$7&amp;"
Remark
"&amp;E67</f>
        <v/>
      </c>
      <c r="C67" s="19">
        <f>TEXT(MID(D67, FIND(".", D67)-6, 6)*1, "00"":""00"":""00")</f>
        <v/>
      </c>
      <c r="D67" s="4" t="n"/>
      <c r="E67" s="4" t="n"/>
      <c r="F67" s="4" t="n"/>
      <c r="G67" s="4" t="n"/>
      <c r="H67" s="4" t="n"/>
      <c r="I67" s="4" t="n"/>
      <c r="J67" s="4" t="n"/>
      <c r="K67" s="4" t="inlineStr">
        <is>
          <t>None</t>
        </is>
      </c>
      <c r="L67" s="6" t="inlineStr">
        <is>
          <t>A - 1 / Critical</t>
        </is>
      </c>
      <c r="M67" s="4" t="inlineStr">
        <is>
          <t>Once</t>
        </is>
      </c>
      <c r="N67" s="4" t="inlineStr">
        <is>
          <t>no</t>
        </is>
      </c>
      <c r="O67" s="5" t="inlineStr">
        <is>
          <t>Other</t>
        </is>
      </c>
      <c r="P67" s="5" t="inlineStr">
        <is>
          <t>MapViewer</t>
        </is>
      </c>
      <c r="Q67" s="4" t="inlineStr">
        <is>
          <t>no</t>
        </is>
      </c>
    </row>
  </sheetData>
  <autoFilter ref="A11:Q67"/>
  <mergeCells count="1">
    <mergeCell ref="A10:Q10"/>
  </mergeCells>
  <dataValidations count="8">
    <dataValidation sqref="E4" showDropDown="0" showInputMessage="1" showErrorMessage="1" allowBlank="0" type="list">
      <formula1>"Car Test,Lab PC Tool,Lab Test Bench,Customer Test"</formula1>
    </dataValidation>
    <dataValidation sqref="E6" showDropDown="0" showInputMessage="1" showErrorMessage="1" allowBlank="0" type="list">
      <formula1>"HU7 Premium CHN_M656,HU7 Premium ASN_M655,HU7 Premium JPN_M661,-,CIVIC_RSU_Gen20xi2,CIVIC.PremiumPlus,CIVIC.Premium,CIVIC.High,CIVIC.Mid"</formula1>
    </dataValidation>
    <dataValidation sqref="E5" showDropDown="0" showInputMessage="1" showErrorMessage="1" allowBlank="1" type="list">
      <formula1>"I pad, Galaxy tab, Mobile IOS, Mobile And, Apple car play, Android auto"</formula1>
    </dataValidation>
    <dataValidation sqref="L12:L67" showDropDown="0" showInputMessage="1" showErrorMessage="1" allowBlank="0" type="list">
      <formula1>"Top / Blocker,A - 1 / Critical,B - 2 / Major,C - 3 / Minor,D - 4 / Trivial,None"</formula1>
    </dataValidation>
    <dataValidation sqref="M12:M67" showDropDown="0" showInputMessage="1" showErrorMessage="1" allowBlank="0" type="list">
      <formula1>"Always,Sometimes,Once,-"</formula1>
    </dataValidation>
    <dataValidation sqref="O12:O67" showDropDown="0" showInputMessage="1" showErrorMessage="1" allowBlank="0" type="list">
      <formula1>"None,Reset,Performance,Other"</formula1>
    </dataValidation>
    <dataValidation sqref="N12:N67 Q12:Q67" showDropDown="0" showInputMessage="1" showErrorMessage="1" allowBlank="0" type="list">
      <formula1>"yes,y,no,n"</formula1>
    </dataValidation>
    <dataValidation sqref="P12:P67" showDropDown="0" showInputMessage="1" showErrorMessage="1" allowBlank="0" type="list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I11" sqref="I11"/>
    </sheetView>
  </sheetViews>
  <sheetFormatPr baseColWidth="8" defaultRowHeight="17" outlineLevelCol="0"/>
  <cols>
    <col width="14.5" bestFit="1" customWidth="1" style="11" min="1" max="1"/>
    <col width="10.08203125" bestFit="1" customWidth="1" style="11" min="2" max="2"/>
    <col width="21.9140625" customWidth="1" style="11" min="3" max="4"/>
  </cols>
  <sheetData>
    <row r="1">
      <c r="A1" s="2" t="inlineStr">
        <is>
          <t>Test_environment</t>
        </is>
      </c>
      <c r="B1" s="2" t="inlineStr">
        <is>
          <t>HW_Version</t>
        </is>
      </c>
      <c r="C1" s="2" t="inlineStr">
        <is>
          <t>System (List)</t>
        </is>
      </c>
      <c r="D1" s="2" t="inlineStr">
        <is>
          <t>Project</t>
        </is>
      </c>
    </row>
    <row r="2">
      <c r="A2" s="7" t="inlineStr">
        <is>
          <t>Car Test</t>
        </is>
      </c>
      <c r="B2" s="7" t="inlineStr">
        <is>
          <t>A</t>
        </is>
      </c>
      <c r="C2" s="7" t="inlineStr">
        <is>
          <t>None</t>
        </is>
      </c>
      <c r="D2" s="7" t="inlineStr">
        <is>
          <t>NTG7</t>
        </is>
      </c>
      <c r="E2" s="7" t="n"/>
    </row>
    <row r="3">
      <c r="A3" s="7" t="inlineStr">
        <is>
          <t>Lab PC Tool</t>
        </is>
      </c>
      <c r="B3" s="7" t="inlineStr">
        <is>
          <t>B</t>
        </is>
      </c>
      <c r="C3" s="7" t="inlineStr">
        <is>
          <t>HU7 High ASN_M362</t>
        </is>
      </c>
      <c r="D3" s="7" t="inlineStr">
        <is>
          <t>Gen20x.i2</t>
        </is>
      </c>
      <c r="E3" s="7" t="n"/>
    </row>
    <row r="4">
      <c r="A4" s="7" t="inlineStr">
        <is>
          <t>Lab Test Bench</t>
        </is>
      </c>
      <c r="B4" s="7" t="inlineStr">
        <is>
          <t>B1</t>
        </is>
      </c>
      <c r="C4" s="7" t="inlineStr">
        <is>
          <t>HU7 High CHN_M363</t>
        </is>
      </c>
      <c r="D4" s="7" t="inlineStr">
        <is>
          <t>Gen20x.i3</t>
        </is>
      </c>
      <c r="E4" s="7" t="n"/>
    </row>
    <row r="5">
      <c r="A5" s="7" t="inlineStr">
        <is>
          <t>Customer Test</t>
        </is>
      </c>
      <c r="B5" s="7" t="inlineStr">
        <is>
          <t>B2</t>
        </is>
      </c>
      <c r="C5" s="7" t="inlineStr">
        <is>
          <t>HU7 High IND_M364</t>
        </is>
      </c>
      <c r="D5" s="7" t="inlineStr">
        <is>
          <t>IST8</t>
        </is>
      </c>
      <c r="E5" s="7" t="n"/>
    </row>
    <row r="6">
      <c r="A6" s="7" t="n"/>
      <c r="B6" s="7" t="inlineStr">
        <is>
          <t>C</t>
        </is>
      </c>
      <c r="C6" s="7" t="inlineStr">
        <is>
          <t>HU7 High KOR_M326</t>
        </is>
      </c>
      <c r="D6" s="7" t="inlineStr">
        <is>
          <t>NKM</t>
        </is>
      </c>
      <c r="E6" s="7" t="n"/>
    </row>
    <row r="7">
      <c r="A7" s="7" t="n"/>
      <c r="B7" s="7" t="inlineStr">
        <is>
          <t>C1</t>
        </is>
      </c>
      <c r="C7" s="7" t="inlineStr">
        <is>
          <t>HU7 High ROW_M361</t>
        </is>
      </c>
      <c r="D7" s="7" t="n"/>
      <c r="E7" s="7" t="n"/>
    </row>
    <row r="8">
      <c r="A8" s="7" t="n"/>
      <c r="B8" s="7" t="inlineStr">
        <is>
          <t>C2</t>
        </is>
      </c>
      <c r="C8" s="7" t="inlineStr">
        <is>
          <t>HU7 Mid ASN_M356</t>
        </is>
      </c>
      <c r="D8" s="7" t="n"/>
      <c r="E8" s="7" t="n"/>
    </row>
    <row r="9">
      <c r="A9" s="7" t="n"/>
      <c r="B9" s="7" t="inlineStr">
        <is>
          <t>C3</t>
        </is>
      </c>
      <c r="C9" s="7" t="inlineStr">
        <is>
          <t>HU7 Mid CHN_M305</t>
        </is>
      </c>
      <c r="D9" s="7" t="n"/>
      <c r="E9" s="7" t="n"/>
    </row>
    <row r="10">
      <c r="A10" s="7" t="n"/>
      <c r="B10" s="7" t="inlineStr">
        <is>
          <t>C4</t>
        </is>
      </c>
      <c r="C10" s="7" t="inlineStr">
        <is>
          <t>HU7 Mid IND_M357</t>
        </is>
      </c>
      <c r="D10" s="7" t="n"/>
      <c r="E10" s="7" t="n"/>
    </row>
    <row r="11">
      <c r="A11" s="7" t="n"/>
      <c r="B11" s="7" t="inlineStr">
        <is>
          <t>D</t>
        </is>
      </c>
      <c r="C11" s="7" t="inlineStr">
        <is>
          <t>HU7 Mid ROW_M355</t>
        </is>
      </c>
      <c r="D11" s="7" t="n"/>
      <c r="E11" s="7" t="n"/>
    </row>
    <row r="12">
      <c r="A12" s="7" t="n"/>
      <c r="B12" s="7" t="inlineStr">
        <is>
          <t>D1</t>
        </is>
      </c>
      <c r="C12" s="7" t="inlineStr">
        <is>
          <t>HU7 Premium TV JPN_M241</t>
        </is>
      </c>
      <c r="D12" s="7" t="n"/>
      <c r="E12" s="7" t="n"/>
    </row>
    <row r="13">
      <c r="A13" s="7" t="n"/>
      <c r="B13" s="7" t="inlineStr">
        <is>
          <t>D2</t>
        </is>
      </c>
      <c r="C13" s="7" t="inlineStr">
        <is>
          <t>HU7 Mid ECE_M304</t>
        </is>
      </c>
      <c r="D13" s="7" t="n"/>
      <c r="E13" s="7" t="n"/>
    </row>
    <row r="14">
      <c r="A14" s="7" t="n"/>
      <c r="B14" s="7" t="inlineStr">
        <is>
          <t>D3</t>
        </is>
      </c>
      <c r="C14" s="7" t="inlineStr">
        <is>
          <t>HU7 Premium ECE_M238</t>
        </is>
      </c>
      <c r="D14" s="7" t="n"/>
      <c r="E14" s="7" t="n"/>
    </row>
    <row r="15">
      <c r="A15" s="7" t="n"/>
      <c r="B15" s="7" t="inlineStr">
        <is>
          <t>D4</t>
        </is>
      </c>
      <c r="C15" s="7" t="inlineStr">
        <is>
          <t>HU7 Premium CHN_M312</t>
        </is>
      </c>
      <c r="D15" s="7" t="n"/>
      <c r="E15" s="7" t="n"/>
    </row>
    <row r="16">
      <c r="A16" s="7" t="n"/>
      <c r="B16" s="7" t="inlineStr">
        <is>
          <t>D5</t>
        </is>
      </c>
      <c r="C16" s="7" t="inlineStr">
        <is>
          <t>HU7 Premium ASN_M369</t>
        </is>
      </c>
      <c r="D16" s="7" t="n"/>
      <c r="E16" s="7" t="n"/>
    </row>
    <row r="17">
      <c r="A17" s="7" t="n"/>
      <c r="B17" s="7" t="inlineStr">
        <is>
          <t>E018</t>
        </is>
      </c>
      <c r="C17" s="7" t="inlineStr">
        <is>
          <t>HU7 Premium ASN_M385</t>
        </is>
      </c>
      <c r="D17" s="7" t="n"/>
    </row>
    <row r="18">
      <c r="A18" s="7" t="n"/>
      <c r="B18" s="7" t="inlineStr">
        <is>
          <t>E019</t>
        </is>
      </c>
      <c r="C18" s="7" t="inlineStr">
        <is>
          <t>External_Devices</t>
        </is>
      </c>
      <c r="D18" s="7" t="n"/>
    </row>
    <row r="19">
      <c r="A19" s="7" t="n"/>
      <c r="B19" s="7" t="inlineStr">
        <is>
          <t>E015</t>
        </is>
      </c>
      <c r="C19" s="7" t="inlineStr">
        <is>
          <t>HU7 Premium CHN_M441</t>
        </is>
      </c>
      <c r="D19" s="7" t="n"/>
    </row>
    <row r="20">
      <c r="A20" s="7" t="n"/>
      <c r="B20" s="7" t="inlineStr">
        <is>
          <t>Q01</t>
        </is>
      </c>
      <c r="C20" s="7" t="inlineStr">
        <is>
          <t>HU7 Premium CHN_M656</t>
        </is>
      </c>
      <c r="D20" s="7" t="n"/>
    </row>
    <row r="21">
      <c r="A21" s="7" t="n"/>
      <c r="B21" s="7" t="inlineStr">
        <is>
          <t>I pad</t>
        </is>
      </c>
      <c r="C21" s="7" t="inlineStr">
        <is>
          <t>HU7 Premium CHN_M619</t>
        </is>
      </c>
      <c r="D21" s="7" t="n"/>
    </row>
    <row r="22">
      <c r="A22" s="7" t="n"/>
      <c r="B22" s="7" t="inlineStr">
        <is>
          <t>Galaxy tab</t>
        </is>
      </c>
      <c r="C22" s="7" t="inlineStr">
        <is>
          <t>HU7 Premium ASN_M623</t>
        </is>
      </c>
      <c r="D22" s="7" t="n"/>
    </row>
    <row r="23">
      <c r="A23" s="7" t="n"/>
      <c r="B23" s="7" t="inlineStr">
        <is>
          <t>Mobile IOS</t>
        </is>
      </c>
      <c r="C23" s="7" t="inlineStr">
        <is>
          <t>HU7 Premium ASN_M655</t>
        </is>
      </c>
      <c r="D23" s="7" t="n"/>
    </row>
    <row r="24">
      <c r="A24" s="7" t="n"/>
      <c r="B24" s="7" t="inlineStr">
        <is>
          <t>Mobile And</t>
        </is>
      </c>
      <c r="C24" s="7" t="inlineStr">
        <is>
          <t>HU7 Premium JPN_M661</t>
        </is>
      </c>
      <c r="D24" s="7" t="n"/>
    </row>
    <row r="25">
      <c r="A25" s="7" t="n"/>
      <c r="B25" s="7" t="inlineStr">
        <is>
          <t>Apple car play</t>
        </is>
      </c>
      <c r="C25" s="7" t="inlineStr">
        <is>
          <t>-</t>
        </is>
      </c>
      <c r="D25" s="7" t="n"/>
    </row>
    <row r="26">
      <c r="A26" s="7" t="n"/>
      <c r="B26" s="7" t="inlineStr">
        <is>
          <t>Android auto</t>
        </is>
      </c>
      <c r="C26" s="7" t="inlineStr">
        <is>
          <t>CIVIC_RSU_Gen20xi2</t>
        </is>
      </c>
      <c r="D26" s="7" t="n"/>
    </row>
    <row r="27">
      <c r="A27" s="7" t="n"/>
      <c r="B27" s="7" t="n"/>
      <c r="C27" s="7" t="inlineStr">
        <is>
          <t>CIVIC.PremiumPlus</t>
        </is>
      </c>
      <c r="D27" s="7" t="n"/>
    </row>
    <row r="28">
      <c r="A28" s="7" t="n"/>
      <c r="B28" s="7" t="n"/>
      <c r="C28" s="7" t="inlineStr">
        <is>
          <t>CIVIC.Premium</t>
        </is>
      </c>
      <c r="D28" s="7" t="n"/>
    </row>
    <row r="29">
      <c r="A29" s="7" t="n"/>
      <c r="B29" s="7" t="n"/>
      <c r="C29" s="7" t="inlineStr">
        <is>
          <t>CIVIC.High</t>
        </is>
      </c>
      <c r="D29" s="7" t="n"/>
    </row>
    <row r="30">
      <c r="A30" s="7" t="n"/>
      <c r="B30" s="7" t="n"/>
      <c r="C30" s="7" t="inlineStr">
        <is>
          <t>CIVIC.Mid</t>
        </is>
      </c>
      <c r="D30" s="7" t="n"/>
    </row>
    <row r="31">
      <c r="A31" s="7" t="n"/>
      <c r="B31" s="7" t="n"/>
      <c r="C31" s="7" t="n"/>
      <c r="D3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강민수(Minsu Kang)</dc:creator>
  <dcterms:created xsi:type="dcterms:W3CDTF">2023-06-27T11:03:38Z</dcterms:created>
  <dcterms:modified xsi:type="dcterms:W3CDTF">2026-07-23T01:01:51Z</dcterms:modified>
  <cp:lastModifiedBy>강민수(Minsu Kang)</cp:lastModifiedBy>
</cp:coreProperties>
</file>